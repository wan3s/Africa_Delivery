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струкция" sheetId="1" r:id="rId4"/>
    <sheet state="visible" name="Допущения" sheetId="2" r:id="rId5"/>
    <sheet state="visible" name="TCO" sheetId="3" r:id="rId6"/>
  </sheets>
  <definedNames/>
  <calcPr/>
  <extLst>
    <ext uri="GoogleSheetsCustomDataVersion2">
      <go:sheetsCustomData xmlns:go="http://customooxmlschemas.google.com/" r:id="rId7" roundtripDataChecksum="s1gNHq3pXRMNuR9zTBGmXgJKbQ3SM3fGus9ppFAMrRg="/>
    </ext>
  </extLst>
</workbook>
</file>

<file path=xl/sharedStrings.xml><?xml version="1.0" encoding="utf-8"?>
<sst xmlns="http://schemas.openxmlformats.org/spreadsheetml/2006/main" count="238" uniqueCount="189">
  <si>
    <t>Модель TCO (Total Cost of Ownership) — кейс «Africa Delivery», горизонт 5 лет</t>
  </si>
  <si>
    <t>TCO на 5 лет — Africa Delivery</t>
  </si>
  <si>
    <t>Допущения модели TCO — Africa Delivery</t>
  </si>
  <si>
    <t>Зачем этот файл</t>
  </si>
  <si>
    <t>Заполняются только ячейки с жёлтой заливкой. Все числа ниже — пример, заменить своими.</t>
  </si>
  <si>
    <t>Заполняем колонки «Драйвер роста» и «База, $/год (Год 1)». Годы 1–5 считаются автоматически.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</si>
  <si>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</si>
  <si>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</si>
  <si>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</si>
  <si>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</si>
  <si>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</si>
  <si>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</si>
  <si>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</si>
  <si>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</si>
  <si>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</si>
  <si>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1. Драйверы бизнеса — заполнить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</si>
  <si>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</si>
  <si>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</si>
  <si>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</si>
  <si>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</si>
  <si>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</si>
  <si>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</si>
  <si>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</si>
  <si>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</si>
  <si>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</si>
  <si>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</si>
  <si>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</si>
  <si>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</si>
  <si>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</si>
  <si>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</si>
  <si>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</si>
  <si>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</si>
  <si>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</si>
  <si>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</si>
  <si>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Показатель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</si>
  <si>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</si>
  <si>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</si>
  <si>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</si>
  <si>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</si>
  <si>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</si>
  <si>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</si>
  <si>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Статья затрат</t>
  </si>
  <si>
    <t>Год 1</t>
  </si>
  <si>
    <t>Люди</t>
  </si>
  <si>
    <t>Год 2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</si>
  <si>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</si>
  <si>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Год 3</t>
  </si>
  <si>
    <t>Год 4</t>
  </si>
  <si>
    <t>Год 5</t>
  </si>
  <si>
    <t>Драйвер роста</t>
  </si>
  <si>
    <t>Комментарий / источник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</si>
  <si>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</si>
  <si>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База, $/год (Год 1)</t>
  </si>
  <si>
    <t>Активные пользователи (на конец года)</t>
  </si>
  <si>
    <t>Цель кейса: 1М+ пользователей к 12 месяцам, 5 стран</t>
  </si>
  <si>
    <t>Число заказов в год</t>
  </si>
  <si>
    <t>MVP: 100 продавцов, 5000 SKU. Оценка студента</t>
  </si>
  <si>
    <t>Средний чек (AOV), $</t>
  </si>
  <si>
    <t>Оценка студента по рынку (Jumia / Takealot)</t>
  </si>
  <si>
    <t>GMV, $ в год (расчёт)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</si>
  <si>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</si>
  <si>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</si>
  <si>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</si>
  <si>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</si>
  <si>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пользователи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</si>
  <si>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</si>
  <si>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</si>
  <si>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</si>
  <si>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</si>
  <si>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</si>
  <si>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</si>
  <si>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</si>
  <si>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</si>
  <si>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</si>
  <si>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</si>
  <si>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</si>
  <si>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</si>
  <si>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</si>
  <si>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Ограничение из письма CFO</t>
  </si>
  <si>
    <t>Стоимость минуты простоя, $</t>
  </si>
  <si>
    <t>Оценка инвестора из условия кейса</t>
  </si>
  <si>
    <t>Целевой SLO (доступность), %</t>
  </si>
  <si>
    <t>Mission critical: 99,99% = 52,6 мин/год</t>
  </si>
  <si>
    <t>Учитывать стоимость простоя в TCO (1 — да, 0 — нет)</t>
  </si>
  <si>
    <t>Переключатель для сценарного анализа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</si>
  <si>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</si>
  <si>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</si>
  <si>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</si>
  <si>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</si>
  <si>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</si>
  <si>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</si>
  <si>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</si>
  <si>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</si>
  <si>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</si>
  <si>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</si>
  <si>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</si>
  <si>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</si>
  <si>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</si>
  <si>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</si>
  <si>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</si>
  <si>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AWS af-south-1, оценка по калькулятору</t>
  </si>
  <si>
    <t>Управляемые БД (PostgreSQL, реплики)</t>
  </si>
  <si>
    <t>Managed RDS + read replica</t>
  </si>
  <si>
    <t>Хранилище объектов и резервные копии</t>
  </si>
  <si>
    <t>Фото товаров, 5000 SKU на старте</t>
  </si>
  <si>
    <t>CDN и исходящий трафик</t>
  </si>
  <si>
    <t>70% трафика — мобильный 3G, картинки WebP</t>
  </si>
  <si>
    <t>Очереди / стриминг (Kafka, SQS)</t>
  </si>
  <si>
    <t>Асинхронные заказы и уведомления</t>
  </si>
  <si>
    <t>Резервный регион / DR</t>
  </si>
  <si>
    <t>Зависит от выбранной стратегии RTO/RPO</t>
  </si>
  <si>
    <t>Локальное размещение данных (NDPR, Нигерия)</t>
  </si>
  <si>
    <t>Локальный провайдер или партнёр — см. ADR №3</t>
  </si>
  <si>
    <t>Своя статья</t>
  </si>
  <si>
    <t>Итого по блоку</t>
  </si>
  <si>
    <t>БЛОК 2. Лицензии, SaaS и инструменты</t>
  </si>
  <si>
    <t>Observability (метрики, логи, трейсинг)</t>
  </si>
  <si>
    <t>Объём логов растёт с нагрузкой</t>
  </si>
  <si>
    <t>CI/CD, репозиторий, артефакты</t>
  </si>
  <si>
    <t>GitHub / GitLab, тарифы на команду</t>
  </si>
  <si>
    <t>Безопасность: WAF, секреты, антифрод</t>
  </si>
  <si>
    <t>Мошенничество на ПВЗ — риск из кейса</t>
  </si>
  <si>
    <t>WhatsApp Business API (подписка)</t>
  </si>
  <si>
    <t>Канал для продавцов без личного кабинета</t>
  </si>
  <si>
    <t>Прочее ПО и подписки</t>
  </si>
  <si>
    <t>Таск-трекер, дизайн, аналитика</t>
  </si>
  <si>
    <t>БЛОК 3. Транзакционные расходы (Buy / Partner)</t>
  </si>
  <si>
    <t>Комиссии платёжных провайдеров</t>
  </si>
  <si>
    <t>≈3% от GMV: M-Pesa (Кения), Flutterwave / Paystack (Нигерия)</t>
  </si>
  <si>
    <t>SMS-уведомления</t>
  </si>
  <si>
    <t>≈$0,04 за SMS × заказы</t>
  </si>
  <si>
    <t>WhatsApp-сообщения (за диалог)</t>
  </si>
  <si>
    <t>Тариф Meta за conversation</t>
  </si>
  <si>
    <t>Логистика: интеграции и комиссии партнёров</t>
  </si>
  <si>
    <t>Sendbox (Нигерия), Sendy (Кения)</t>
  </si>
  <si>
    <t>БЛОК 4. Команда (ФОТ)</t>
  </si>
  <si>
    <t>Разработка (FTE × годовая ставка)</t>
  </si>
  <si>
    <t>Например 6 FTE × $60k. Зависит от арх. варианта!</t>
  </si>
  <si>
    <t>DevOps / SRE</t>
  </si>
  <si>
    <t>Микросервисы требуют больше SRE, чем монолит</t>
  </si>
  <si>
    <t>Поддержка и дежурства 24/7</t>
  </si>
  <si>
    <t>Требование mission critical: дежурство ночью</t>
  </si>
  <si>
    <t>Архитектура и менеджмент</t>
  </si>
  <si>
    <t>Solution Architect, CTO-функция, PM</t>
  </si>
  <si>
    <t>БЛОК 5. Разовые затраты и комплаенс</t>
  </si>
  <si>
    <t>Юридический и комплаенс-аудит (NDPR, POPIA, KICA)</t>
  </si>
  <si>
    <t>Разовая статья — обнули лишние годы вручную</t>
  </si>
  <si>
    <t>Пентест и аудит безопасности</t>
  </si>
  <si>
    <t>Ежегодно, если mission critical</t>
  </si>
  <si>
    <t>Миграция данных и интеграции при запуске</t>
  </si>
  <si>
    <t>Разовая статья</t>
  </si>
  <si>
    <t>Обучение команды и найм</t>
  </si>
  <si>
    <t>Дефицит локальных ИТ-специалистов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</si>
  <si>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</si>
  <si>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</si>
  <si>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</si>
  <si>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</si>
  <si>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</si>
  <si>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</si>
  <si>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</si>
  <si>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</si>
  <si>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</si>
  <si>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</si>
  <si>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</si>
  <si>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</si>
  <si>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</si>
  <si>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</si>
  <si>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</si>
  <si>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</si>
  <si>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</si>
  <si>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</si>
  <si>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</si>
  <si>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</si>
  <si>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</si>
  <si>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</si>
  <si>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</si>
  <si>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</si>
  <si>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</si>
  <si>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</si>
  <si>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</si>
  <si>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</si>
  <si>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</si>
  <si>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</si>
  <si>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</si>
  <si>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</si>
  <si>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</si>
  <si>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</si>
  <si>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</si>
  <si>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Например: вариант «модульный монолит» дешевле на 5 лет за счёт меньшего ФОТ и SRE, но при росте выше 3М пользователей разрыв сокращается — точка пересмотра решения (см. ADR №1).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</si>
</sst>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3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rgb="FF808080"/>
      <name val="Arial"/>
    </font>
    <font>
      <b/>
      <sz val="11.0"/>
      <color rgb="FFFFFFFF"/>
      <name val="Arial"/>
    </font>
    <font>
      <b/>
      <sz val="10.0"/>
      <color rgb="FFC00000"/>
      <name val="Arial"/>
    </font>
    <font>
      <sz val="10.0"/>
      <color rgb="FF0000FF"/>
      <name val="Arial"/>
    </font>
    <font>
      <color theme="1"/>
      <name val="Calibri"/>
      <scheme val="minor"/>
    </font>
    <font>
      <sz val="10.0"/>
      <color rgb="FF008000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4" numFmtId="0" xfId="0" applyAlignment="1" applyBorder="1" applyFill="1" applyFont="1">
      <alignment shrinkToFit="0" vertical="bottom" wrapText="0"/>
    </xf>
    <xf borderId="2" fillId="2" fontId="5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2" fillId="0" fontId="3" numFmtId="0" xfId="0" applyAlignment="1" applyBorder="1" applyFont="1">
      <alignment shrinkToFit="0" vertical="bottom" wrapText="0"/>
    </xf>
    <xf borderId="2" fillId="4" fontId="9" numFmtId="3" xfId="0" applyAlignment="1" applyBorder="1" applyFill="1" applyFont="1" applyNumberFormat="1">
      <alignment shrinkToFit="0" vertical="bottom" wrapText="0"/>
    </xf>
    <xf borderId="0" fillId="0" fontId="6" numFmtId="0" xfId="0" applyAlignment="1" applyFont="1">
      <alignment shrinkToFit="0" vertical="top" wrapText="1"/>
    </xf>
    <xf borderId="2" fillId="4" fontId="9" numFmtId="164" xfId="0" applyAlignment="1" applyBorder="1" applyFill="1" applyFont="1" applyNumberForma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2" numFmtId="165" xfId="0" applyAlignment="1" applyBorder="1" applyFont="1" applyNumberFormat="1">
      <alignment shrinkToFit="0" vertical="bottom" wrapText="0"/>
    </xf>
    <xf borderId="2" fillId="4" fontId="9" numFmtId="0" xfId="0" applyAlignment="1" applyBorder="1" applyFill="1" applyFont="1">
      <alignment shrinkToFit="0" vertical="bottom" wrapText="0"/>
    </xf>
    <xf borderId="2" fillId="4" fontId="9" numFmtId="165" xfId="0" applyAlignment="1" applyBorder="1" applyFill="1" applyFont="1" applyNumberFormat="1">
      <alignment shrinkToFit="0" vertical="bottom" wrapText="0"/>
    </xf>
    <xf borderId="2" fillId="4" fontId="9" numFmtId="166" xfId="0" applyAlignment="1" applyBorder="1" applyFill="1" applyFont="1" applyNumberFormat="1">
      <alignment shrinkToFit="0" vertical="bottom" wrapText="0"/>
    </xf>
    <xf borderId="2" fillId="4" fontId="9" numFmtId="167" xfId="0" applyAlignment="1" applyBorder="1" applyFill="1" applyFont="1" applyNumberFormat="1">
      <alignment shrinkToFit="0" vertical="bottom" wrapText="0"/>
    </xf>
    <xf borderId="2" fillId="4" fontId="9" numFmtId="1" xfId="0" applyAlignment="1" applyBorder="1" applyFill="1" applyFont="1" applyNumberFormat="1">
      <alignment shrinkToFit="0" vertical="bottom" wrapText="0"/>
    </xf>
    <xf borderId="2" fillId="0" fontId="3" numFmtId="2" xfId="0" applyAlignment="1" applyBorder="1" applyFont="1" applyNumberFormat="1">
      <alignment shrinkToFit="0" vertical="bottom" wrapText="0"/>
    </xf>
    <xf borderId="2" fillId="0" fontId="3" numFmtId="165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bottom" wrapText="0"/>
    </xf>
    <xf borderId="2" fillId="5" fontId="5" numFmtId="0" xfId="0" applyAlignment="1" applyBorder="1" applyFill="1" applyFont="1">
      <alignment shrinkToFit="0" vertical="bottom" wrapText="0"/>
    </xf>
    <xf borderId="2" fillId="5" fontId="2" numFmtId="165" xfId="0" applyAlignment="1" applyBorder="1" applyFill="1" applyFont="1" applyNumberFormat="1">
      <alignment shrinkToFit="0" vertical="bottom" wrapText="0"/>
    </xf>
    <xf borderId="2" fillId="5" fontId="2" numFmtId="166" xfId="0" applyAlignment="1" applyBorder="1" applyFill="1" applyFont="1" applyNumberFormat="1">
      <alignment shrinkToFit="0" vertical="bottom" wrapText="0"/>
    </xf>
    <xf borderId="0" fillId="0" fontId="10" numFmtId="0" xfId="0" applyFont="1"/>
    <xf borderId="2" fillId="0" fontId="11" numFmtId="165" xfId="0" applyAlignment="1" applyBorder="1" applyFont="1" applyNumberFormat="1">
      <alignment shrinkToFit="0" vertical="bottom" wrapText="0"/>
    </xf>
    <xf borderId="2" fillId="0" fontId="11" numFmtId="168" xfId="0" applyAlignment="1" applyBorder="1" applyFont="1" applyNumberFormat="1">
      <alignment shrinkToFit="0" vertical="bottom" wrapText="0"/>
    </xf>
    <xf borderId="3" fillId="6" fontId="2" numFmtId="165" xfId="0" applyAlignment="1" applyBorder="1" applyFill="1" applyFont="1" applyNumberFormat="1">
      <alignment shrinkToFit="0" vertical="bottom" wrapText="0"/>
    </xf>
    <xf borderId="4" fillId="0" fontId="12" numFmtId="0" xfId="0" applyBorder="1" applyFont="1"/>
    <xf borderId="3" fillId="6" fontId="2" numFmtId="0" xfId="0" applyAlignment="1" applyBorder="1" applyFill="1" applyFont="1">
      <alignment shrinkToFit="0" vertical="bottom" wrapText="0"/>
    </xf>
    <xf borderId="3" fillId="6" fontId="2" numFmtId="164" xfId="0" applyAlignment="1" applyBorder="1" applyFill="1" applyFont="1" applyNumberFormat="1">
      <alignment shrinkToFit="0" vertical="bottom" wrapText="0"/>
    </xf>
    <xf borderId="3" fillId="6" fontId="2" numFmtId="10" xfId="0" applyAlignment="1" applyBorder="1" applyFill="1" applyFont="1" applyNumberFormat="1">
      <alignment shrinkToFit="0" vertical="bottom" wrapText="0"/>
    </xf>
    <xf borderId="3" fillId="6" fontId="2" numFmtId="166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5" fillId="4" fontId="9" numFmtId="0" xfId="0" applyAlignment="1" applyBorder="1" applyFill="1" applyFont="1">
      <alignment shrinkToFit="0" vertical="top" wrapText="1"/>
    </xf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6.0"/>
    <col customWidth="1" min="3" max="3" width="78.0"/>
    <col customWidth="1" min="4" max="26" width="8.71"/>
  </cols>
  <sheetData>
    <row r="2">
      <c r="B2" s="1" t="s">
        <v>0</v>
      </c>
    </row>
    <row r="3">
      <c r="B3" s="2"/>
      <c r="C3" s="3"/>
    </row>
    <row r="4">
      <c r="B4" s="4" t="s">
        <v>3</v>
      </c>
      <c r="C4" s="5"/>
    </row>
    <row r="5" ht="30.0" customHeight="1">
      <c r="B5" s="2" t="s">
        <v>6</v>
      </c>
      <c r="C5" s="3" t="s">
        <v>7</v>
      </c>
    </row>
    <row r="6" ht="30.0" customHeight="1">
      <c r="B6" s="2" t="s">
        <v>8</v>
      </c>
      <c r="C6" s="3" t="s">
        <v>9</v>
      </c>
    </row>
    <row r="7">
      <c r="B7" s="2"/>
      <c r="C7" s="3"/>
    </row>
    <row r="8">
      <c r="B8" s="4" t="s">
        <v>10</v>
      </c>
      <c r="C8" s="5"/>
    </row>
    <row r="9">
      <c r="B9" s="2" t="s">
        <v>11</v>
      </c>
      <c r="C9" s="3" t="s">
        <v>12</v>
      </c>
    </row>
    <row r="10">
      <c r="B10" s="2" t="s">
        <v>13</v>
      </c>
      <c r="C10" s="3" t="s">
        <v>14</v>
      </c>
    </row>
    <row r="11">
      <c r="B11" s="2" t="s">
        <v>16</v>
      </c>
      <c r="C11" s="3" t="s">
        <v>17</v>
      </c>
    </row>
    <row r="12">
      <c r="B12" s="2"/>
      <c r="C12" s="3"/>
    </row>
    <row r="13">
      <c r="B13" s="4" t="s">
        <v>18</v>
      </c>
      <c r="C13" s="5"/>
    </row>
    <row r="14" ht="30.0" customHeight="1">
      <c r="B14" s="2" t="s">
        <v>19</v>
      </c>
      <c r="C14" s="3" t="s">
        <v>20</v>
      </c>
    </row>
    <row r="15" ht="30.0" customHeight="1">
      <c r="B15" s="2" t="s">
        <v>21</v>
      </c>
      <c r="C15" s="3" t="s">
        <v>22</v>
      </c>
    </row>
    <row r="16" ht="30.0" customHeight="1">
      <c r="B16" s="2" t="s">
        <v>23</v>
      </c>
      <c r="C16" s="3" t="s">
        <v>24</v>
      </c>
    </row>
    <row r="17" ht="30.0" customHeight="1">
      <c r="B17" s="2" t="s">
        <v>25</v>
      </c>
      <c r="C17" s="3" t="s">
        <v>26</v>
      </c>
    </row>
    <row r="18" ht="30.0" customHeight="1">
      <c r="B18" s="2" t="s">
        <v>27</v>
      </c>
      <c r="C18" s="3" t="s">
        <v>28</v>
      </c>
    </row>
    <row r="19">
      <c r="B19" s="2"/>
      <c r="C19" s="3"/>
    </row>
    <row r="20">
      <c r="B20" s="4" t="s">
        <v>29</v>
      </c>
      <c r="C20" s="5"/>
    </row>
    <row r="21" ht="30.0" customHeight="1">
      <c r="B21" s="2" t="s">
        <v>30</v>
      </c>
      <c r="C21" s="3" t="s">
        <v>31</v>
      </c>
    </row>
    <row r="22" ht="30.0" customHeight="1">
      <c r="B22" s="2" t="s">
        <v>32</v>
      </c>
      <c r="C22" s="3" t="s">
        <v>33</v>
      </c>
    </row>
    <row r="23" ht="30.0" customHeight="1">
      <c r="B23" s="2" t="s">
        <v>35</v>
      </c>
      <c r="C23" s="3" t="s">
        <v>36</v>
      </c>
    </row>
    <row r="24" ht="30.0" customHeight="1">
      <c r="B24" s="2" t="s">
        <v>37</v>
      </c>
      <c r="C24" s="3" t="s">
        <v>38</v>
      </c>
    </row>
    <row r="25" ht="30.0" customHeight="1">
      <c r="B25" s="2" t="s">
        <v>39</v>
      </c>
      <c r="C25" s="3" t="s">
        <v>40</v>
      </c>
    </row>
    <row r="26" ht="30.0" customHeight="1">
      <c r="B26" s="2" t="s">
        <v>43</v>
      </c>
      <c r="C26" s="3" t="s">
        <v>45</v>
      </c>
    </row>
    <row r="27" ht="15.75" customHeight="1">
      <c r="B27" s="2"/>
      <c r="C27" s="3"/>
    </row>
    <row r="28" ht="30.0" customHeight="1">
      <c r="B28" s="10" t="s">
        <v>51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8:C2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7" width="15.0"/>
    <col customWidth="1" min="8" max="8" width="52.0"/>
    <col customWidth="1" min="9" max="26" width="8.71"/>
  </cols>
  <sheetData>
    <row r="2">
      <c r="B2" s="1" t="s">
        <v>2</v>
      </c>
    </row>
    <row r="3">
      <c r="B3" s="6" t="s">
        <v>4</v>
      </c>
    </row>
    <row r="5">
      <c r="B5" s="7" t="s">
        <v>15</v>
      </c>
      <c r="C5" s="8"/>
      <c r="D5" s="8"/>
      <c r="E5" s="8"/>
      <c r="F5" s="8"/>
      <c r="G5" s="8"/>
      <c r="H5" s="8"/>
    </row>
    <row r="6">
      <c r="B6" s="9" t="s">
        <v>34</v>
      </c>
      <c r="C6" s="9" t="s">
        <v>42</v>
      </c>
      <c r="D6" s="9" t="s">
        <v>44</v>
      </c>
      <c r="E6" s="9" t="s">
        <v>46</v>
      </c>
      <c r="F6" s="9" t="s">
        <v>47</v>
      </c>
      <c r="G6" s="9" t="s">
        <v>48</v>
      </c>
      <c r="H6" s="9" t="s">
        <v>50</v>
      </c>
    </row>
    <row r="7">
      <c r="B7" s="11" t="s">
        <v>53</v>
      </c>
      <c r="C7" s="12">
        <v>150000.0</v>
      </c>
      <c r="D7" s="12">
        <v>600000.0</v>
      </c>
      <c r="E7" s="12">
        <v>1500000.0</v>
      </c>
      <c r="F7" s="12">
        <v>2500000.0</v>
      </c>
      <c r="G7" s="12">
        <v>3500000.0</v>
      </c>
      <c r="H7" s="13" t="s">
        <v>54</v>
      </c>
    </row>
    <row r="8">
      <c r="B8" s="11" t="s">
        <v>55</v>
      </c>
      <c r="C8" s="12">
        <v>300000.0</v>
      </c>
      <c r="D8" s="12">
        <v>1800000.0</v>
      </c>
      <c r="E8" s="12">
        <v>6000000.0</v>
      </c>
      <c r="F8" s="12">
        <v>1.2E7</v>
      </c>
      <c r="G8" s="12">
        <v>1.8E7</v>
      </c>
      <c r="H8" s="13" t="s">
        <v>56</v>
      </c>
    </row>
    <row r="9">
      <c r="B9" s="11" t="s">
        <v>57</v>
      </c>
      <c r="C9" s="14">
        <v>25.0</v>
      </c>
      <c r="D9" s="14">
        <v>26.0</v>
      </c>
      <c r="E9" s="14">
        <v>27.0</v>
      </c>
      <c r="F9" s="14">
        <v>28.0</v>
      </c>
      <c r="G9" s="14">
        <v>29.0</v>
      </c>
      <c r="H9" s="13" t="s">
        <v>58</v>
      </c>
    </row>
    <row r="10">
      <c r="B10" s="15" t="s">
        <v>59</v>
      </c>
      <c r="C10" s="16">
        <f t="shared" ref="C10:G10" si="1">C8*C9</f>
        <v>7500000</v>
      </c>
      <c r="D10" s="16">
        <f t="shared" si="1"/>
        <v>46800000</v>
      </c>
      <c r="E10" s="16">
        <f t="shared" si="1"/>
        <v>162000000</v>
      </c>
      <c r="F10" s="16">
        <f t="shared" si="1"/>
        <v>336000000</v>
      </c>
      <c r="G10" s="16">
        <f t="shared" si="1"/>
        <v>522000000</v>
      </c>
      <c r="H10" s="13" t="s">
        <v>65</v>
      </c>
    </row>
    <row r="12">
      <c r="B12" s="7" t="s">
        <v>66</v>
      </c>
      <c r="C12" s="8"/>
      <c r="D12" s="8"/>
      <c r="E12" s="8"/>
      <c r="F12" s="8"/>
      <c r="G12" s="8"/>
      <c r="H12" s="8"/>
    </row>
    <row r="13">
      <c r="B13" s="9" t="s">
        <v>67</v>
      </c>
      <c r="C13" s="9" t="s">
        <v>68</v>
      </c>
      <c r="D13" s="9"/>
      <c r="E13" s="9"/>
      <c r="F13" s="9"/>
      <c r="G13" s="9"/>
      <c r="H13" s="9" t="s">
        <v>50</v>
      </c>
    </row>
    <row r="14">
      <c r="B14" s="11" t="s">
        <v>69</v>
      </c>
      <c r="C14" s="19">
        <v>0.08</v>
      </c>
      <c r="H14" s="13" t="s">
        <v>70</v>
      </c>
    </row>
    <row r="15">
      <c r="B15" s="11" t="s">
        <v>71</v>
      </c>
      <c r="C15" s="19">
        <v>0.12</v>
      </c>
      <c r="H15" s="13" t="s">
        <v>72</v>
      </c>
    </row>
    <row r="16">
      <c r="B16" s="11" t="s">
        <v>73</v>
      </c>
      <c r="C16" s="19">
        <v>0.2</v>
      </c>
      <c r="H16" s="13" t="s">
        <v>74</v>
      </c>
    </row>
    <row r="17">
      <c r="B17" s="11" t="s">
        <v>75</v>
      </c>
      <c r="C17" s="19">
        <v>0.15</v>
      </c>
      <c r="H17" s="13" t="s">
        <v>76</v>
      </c>
    </row>
    <row r="18">
      <c r="B18" s="11" t="s">
        <v>77</v>
      </c>
      <c r="C18" s="18">
        <v>9000.0</v>
      </c>
      <c r="H18" s="13" t="s">
        <v>78</v>
      </c>
    </row>
    <row r="19">
      <c r="B19" s="11" t="s">
        <v>79</v>
      </c>
      <c r="C19" s="18">
        <v>12000.0</v>
      </c>
      <c r="H19" s="13" t="s">
        <v>80</v>
      </c>
    </row>
    <row r="20">
      <c r="B20" s="11" t="s">
        <v>81</v>
      </c>
      <c r="C20" s="20">
        <v>0.9999</v>
      </c>
      <c r="H20" s="13" t="s">
        <v>82</v>
      </c>
    </row>
    <row r="21" ht="15.75" customHeight="1">
      <c r="B21" s="11" t="s">
        <v>83</v>
      </c>
      <c r="C21" s="21">
        <v>1.0</v>
      </c>
      <c r="H21" s="13" t="s">
        <v>84</v>
      </c>
    </row>
    <row r="22" ht="15.75" customHeight="1"/>
    <row r="23" ht="15.75" customHeight="1">
      <c r="B23" s="7" t="s">
        <v>85</v>
      </c>
      <c r="C23" s="8"/>
      <c r="D23" s="8"/>
      <c r="E23" s="8"/>
      <c r="F23" s="8"/>
      <c r="G23" s="8"/>
      <c r="H23" s="8"/>
    </row>
    <row r="24" ht="15.75" customHeight="1">
      <c r="B24" s="9" t="s">
        <v>86</v>
      </c>
      <c r="C24" s="9" t="s">
        <v>42</v>
      </c>
      <c r="D24" s="9" t="s">
        <v>44</v>
      </c>
      <c r="E24" s="9" t="s">
        <v>46</v>
      </c>
      <c r="F24" s="9" t="s">
        <v>47</v>
      </c>
      <c r="G24" s="9" t="s">
        <v>48</v>
      </c>
      <c r="H24" s="9" t="s">
        <v>87</v>
      </c>
    </row>
    <row r="25" ht="15.75" customHeight="1">
      <c r="B25" s="11" t="s">
        <v>88</v>
      </c>
      <c r="C25" s="22">
        <v>1.0</v>
      </c>
      <c r="D25" s="22">
        <v>1.0</v>
      </c>
      <c r="E25" s="22">
        <v>1.0</v>
      </c>
      <c r="F25" s="22">
        <v>1.0</v>
      </c>
      <c r="G25" s="22">
        <v>1.0</v>
      </c>
      <c r="H25" s="13" t="s">
        <v>89</v>
      </c>
    </row>
    <row r="26" ht="15.75" customHeight="1">
      <c r="B26" s="11" t="s">
        <v>90</v>
      </c>
      <c r="C26" s="22">
        <v>1.0</v>
      </c>
      <c r="D26" s="22">
        <f t="shared" ref="D26:G26" si="2">C26*(1+$C$14)</f>
        <v>1.08</v>
      </c>
      <c r="E26" s="22">
        <f t="shared" si="2"/>
        <v>1.1664</v>
      </c>
      <c r="F26" s="22">
        <f t="shared" si="2"/>
        <v>1.259712</v>
      </c>
      <c r="G26" s="22">
        <f t="shared" si="2"/>
        <v>1.36048896</v>
      </c>
      <c r="H26" s="13" t="s">
        <v>91</v>
      </c>
    </row>
    <row r="27" ht="15.75" customHeight="1">
      <c r="B27" s="11" t="s">
        <v>92</v>
      </c>
      <c r="C27" s="22">
        <v>1.0</v>
      </c>
      <c r="D27" s="22">
        <f t="shared" ref="D27:G27" si="3">C27*(1+$C$15)</f>
        <v>1.12</v>
      </c>
      <c r="E27" s="22">
        <f t="shared" si="3"/>
        <v>1.2544</v>
      </c>
      <c r="F27" s="22">
        <f t="shared" si="3"/>
        <v>1.404928</v>
      </c>
      <c r="G27" s="22">
        <f t="shared" si="3"/>
        <v>1.57351936</v>
      </c>
      <c r="H27" s="13" t="s">
        <v>93</v>
      </c>
    </row>
    <row r="28" ht="15.75" customHeight="1">
      <c r="B28" s="11" t="s">
        <v>64</v>
      </c>
      <c r="C28" s="22">
        <f t="shared" ref="C28:G28" si="4">C7/$C$7</f>
        <v>1</v>
      </c>
      <c r="D28" s="22">
        <f t="shared" si="4"/>
        <v>4</v>
      </c>
      <c r="E28" s="22">
        <f t="shared" si="4"/>
        <v>10</v>
      </c>
      <c r="F28" s="22">
        <f t="shared" si="4"/>
        <v>16.66666667</v>
      </c>
      <c r="G28" s="22">
        <f t="shared" si="4"/>
        <v>23.33333333</v>
      </c>
      <c r="H28" s="13" t="s">
        <v>94</v>
      </c>
    </row>
    <row r="29" ht="15.75" customHeight="1">
      <c r="B29" s="11" t="s">
        <v>95</v>
      </c>
      <c r="C29" s="22">
        <f t="shared" ref="C29:G29" si="5">C8/$C$8</f>
        <v>1</v>
      </c>
      <c r="D29" s="22">
        <f t="shared" si="5"/>
        <v>6</v>
      </c>
      <c r="E29" s="22">
        <f t="shared" si="5"/>
        <v>20</v>
      </c>
      <c r="F29" s="22">
        <f t="shared" si="5"/>
        <v>40</v>
      </c>
      <c r="G29" s="22">
        <f t="shared" si="5"/>
        <v>60</v>
      </c>
      <c r="H29" s="13" t="s">
        <v>96</v>
      </c>
    </row>
    <row r="30" ht="15.75" customHeight="1">
      <c r="B30" s="11" t="s">
        <v>97</v>
      </c>
      <c r="C30" s="22">
        <f t="shared" ref="C30:G30" si="6">C10/$C$10</f>
        <v>1</v>
      </c>
      <c r="D30" s="22">
        <f t="shared" si="6"/>
        <v>6.24</v>
      </c>
      <c r="E30" s="22">
        <f t="shared" si="6"/>
        <v>21.6</v>
      </c>
      <c r="F30" s="22">
        <f t="shared" si="6"/>
        <v>44.8</v>
      </c>
      <c r="G30" s="22">
        <f t="shared" si="6"/>
        <v>69.6</v>
      </c>
      <c r="H30" s="13" t="s">
        <v>98</v>
      </c>
    </row>
    <row r="31" ht="15.75" customHeight="1"/>
    <row r="32" ht="15.0" customHeight="1">
      <c r="B32" s="13" t="s">
        <v>99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2:H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3" width="16.0"/>
    <col customWidth="1" min="4" max="4" width="15.0"/>
    <col customWidth="1" min="5" max="10" width="14.0"/>
    <col customWidth="1" min="11" max="11" width="10.0"/>
    <col customWidth="1" min="12" max="12" width="46.0"/>
    <col customWidth="1" min="13" max="26" width="8.71"/>
  </cols>
  <sheetData>
    <row r="2">
      <c r="B2" s="1" t="s">
        <v>1</v>
      </c>
    </row>
    <row r="3">
      <c r="B3" s="6" t="s">
        <v>5</v>
      </c>
    </row>
    <row r="5" ht="31.5" customHeight="1">
      <c r="B5" s="9" t="s">
        <v>41</v>
      </c>
      <c r="C5" s="9" t="s">
        <v>49</v>
      </c>
      <c r="D5" s="9" t="s">
        <v>52</v>
      </c>
      <c r="E5" s="9" t="s">
        <v>42</v>
      </c>
      <c r="F5" s="9" t="s">
        <v>44</v>
      </c>
      <c r="G5" s="9" t="s">
        <v>46</v>
      </c>
      <c r="H5" s="9" t="s">
        <v>47</v>
      </c>
      <c r="I5" s="9" t="s">
        <v>48</v>
      </c>
      <c r="J5" s="9" t="s">
        <v>60</v>
      </c>
      <c r="K5" s="9" t="s">
        <v>61</v>
      </c>
      <c r="L5" s="9" t="s">
        <v>50</v>
      </c>
    </row>
    <row r="6">
      <c r="B6" s="7" t="s">
        <v>62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B7" s="11" t="s">
        <v>63</v>
      </c>
      <c r="C7" s="17" t="s">
        <v>64</v>
      </c>
      <c r="D7" s="18">
        <v>30000.0</v>
      </c>
      <c r="E7" s="23">
        <f t="array" ref="E7">IF($D7="","",$D7*INDEX('Допущения'!$C$25:$G$30,MATCH($C7,'Допущения'!$B$25:$B$30,0),1))</f>
        <v>30000</v>
      </c>
      <c r="F7" s="23">
        <f t="array" ref="F7">IF($D7="","",$D7*INDEX('Допущения'!$C$25:$G$30,MATCH($C7,'Допущения'!$B$25:$B$30,0),2))</f>
        <v>120000</v>
      </c>
      <c r="G7" s="23">
        <f t="array" ref="G7">IF($D7="","",$D7*INDEX('Допущения'!$C$25:$G$30,MATCH($C7,'Допущения'!$B$25:$B$30,0),3))</f>
        <v>300000</v>
      </c>
      <c r="H7" s="23">
        <f t="array" ref="H7">IF($D7="","",$D7*INDEX('Допущения'!$C$25:$G$30,MATCH($C7,'Допущения'!$B$25:$B$30,0),4))</f>
        <v>500000</v>
      </c>
      <c r="I7" s="23">
        <f t="array" ref="I7">IF($D7="","",$D7*INDEX('Допущения'!$C$25:$G$30,MATCH($C7,'Допущения'!$B$25:$B$30,0),5))</f>
        <v>700000</v>
      </c>
      <c r="J7" s="23">
        <f t="shared" ref="J7:J14" si="1">SUM(E7:I7)</f>
        <v>1650000</v>
      </c>
      <c r="K7" s="24"/>
      <c r="L7" s="25" t="s">
        <v>100</v>
      </c>
    </row>
    <row r="8">
      <c r="B8" s="11" t="s">
        <v>101</v>
      </c>
      <c r="C8" s="17" t="s">
        <v>64</v>
      </c>
      <c r="D8" s="18">
        <v>18000.0</v>
      </c>
      <c r="E8" s="23">
        <f t="array" ref="E8">IF($D8="","",$D8*INDEX('Допущения'!$C$25:$G$30,MATCH($C8,'Допущения'!$B$25:$B$30,0),1))</f>
        <v>18000</v>
      </c>
      <c r="F8" s="23">
        <f t="array" ref="F8">IF($D8="","",$D8*INDEX('Допущения'!$C$25:$G$30,MATCH($C8,'Допущения'!$B$25:$B$30,0),2))</f>
        <v>72000</v>
      </c>
      <c r="G8" s="23">
        <f t="array" ref="G8">IF($D8="","",$D8*INDEX('Допущения'!$C$25:$G$30,MATCH($C8,'Допущения'!$B$25:$B$30,0),3))</f>
        <v>180000</v>
      </c>
      <c r="H8" s="23">
        <f t="array" ref="H8">IF($D8="","",$D8*INDEX('Допущения'!$C$25:$G$30,MATCH($C8,'Допущения'!$B$25:$B$30,0),4))</f>
        <v>300000</v>
      </c>
      <c r="I8" s="23">
        <f t="array" ref="I8">IF($D8="","",$D8*INDEX('Допущения'!$C$25:$G$30,MATCH($C8,'Допущения'!$B$25:$B$30,0),5))</f>
        <v>420000</v>
      </c>
      <c r="J8" s="23">
        <f t="shared" si="1"/>
        <v>990000</v>
      </c>
      <c r="K8" s="24"/>
      <c r="L8" s="25" t="s">
        <v>102</v>
      </c>
    </row>
    <row r="9">
      <c r="B9" s="11" t="s">
        <v>103</v>
      </c>
      <c r="C9" s="17" t="s">
        <v>64</v>
      </c>
      <c r="D9" s="18">
        <v>6000.0</v>
      </c>
      <c r="E9" s="23">
        <f t="array" ref="E9">IF($D9="","",$D9*INDEX('Допущения'!$C$25:$G$30,MATCH($C9,'Допущения'!$B$25:$B$30,0),1))</f>
        <v>6000</v>
      </c>
      <c r="F9" s="23">
        <f t="array" ref="F9">IF($D9="","",$D9*INDEX('Допущения'!$C$25:$G$30,MATCH($C9,'Допущения'!$B$25:$B$30,0),2))</f>
        <v>24000</v>
      </c>
      <c r="G9" s="23">
        <f t="array" ref="G9">IF($D9="","",$D9*INDEX('Допущения'!$C$25:$G$30,MATCH($C9,'Допущения'!$B$25:$B$30,0),3))</f>
        <v>60000</v>
      </c>
      <c r="H9" s="23">
        <f t="array" ref="H9">IF($D9="","",$D9*INDEX('Допущения'!$C$25:$G$30,MATCH($C9,'Допущения'!$B$25:$B$30,0),4))</f>
        <v>100000</v>
      </c>
      <c r="I9" s="23">
        <f t="array" ref="I9">IF($D9="","",$D9*INDEX('Допущения'!$C$25:$G$30,MATCH($C9,'Допущения'!$B$25:$B$30,0),5))</f>
        <v>140000</v>
      </c>
      <c r="J9" s="23">
        <f t="shared" si="1"/>
        <v>330000</v>
      </c>
      <c r="K9" s="24"/>
      <c r="L9" s="25" t="s">
        <v>104</v>
      </c>
    </row>
    <row r="10">
      <c r="B10" s="11" t="s">
        <v>105</v>
      </c>
      <c r="C10" s="17" t="s">
        <v>64</v>
      </c>
      <c r="D10" s="18">
        <v>15000.0</v>
      </c>
      <c r="E10" s="23">
        <f t="array" ref="E10">IF($D10="","",$D10*INDEX('Допущения'!$C$25:$G$30,MATCH($C10,'Допущения'!$B$25:$B$30,0),1))</f>
        <v>15000</v>
      </c>
      <c r="F10" s="23">
        <f t="array" ref="F10">IF($D10="","",$D10*INDEX('Допущения'!$C$25:$G$30,MATCH($C10,'Допущения'!$B$25:$B$30,0),2))</f>
        <v>60000</v>
      </c>
      <c r="G10" s="23">
        <f t="array" ref="G10">IF($D10="","",$D10*INDEX('Допущения'!$C$25:$G$30,MATCH($C10,'Допущения'!$B$25:$B$30,0),3))</f>
        <v>150000</v>
      </c>
      <c r="H10" s="23">
        <f t="array" ref="H10">IF($D10="","",$D10*INDEX('Допущения'!$C$25:$G$30,MATCH($C10,'Допущения'!$B$25:$B$30,0),4))</f>
        <v>250000</v>
      </c>
      <c r="I10" s="23">
        <f t="array" ref="I10">IF($D10="","",$D10*INDEX('Допущения'!$C$25:$G$30,MATCH($C10,'Допущения'!$B$25:$B$30,0),5))</f>
        <v>350000</v>
      </c>
      <c r="J10" s="23">
        <f t="shared" si="1"/>
        <v>825000</v>
      </c>
      <c r="K10" s="24"/>
      <c r="L10" s="25" t="s">
        <v>106</v>
      </c>
    </row>
    <row r="11">
      <c r="B11" s="11" t="s">
        <v>107</v>
      </c>
      <c r="C11" s="17" t="s">
        <v>64</v>
      </c>
      <c r="D11" s="18">
        <v>6000.0</v>
      </c>
      <c r="E11" s="23">
        <f t="array" ref="E11">IF($D11="","",$D11*INDEX('Допущения'!$C$25:$G$30,MATCH($C11,'Допущения'!$B$25:$B$30,0),1))</f>
        <v>6000</v>
      </c>
      <c r="F11" s="23">
        <f t="array" ref="F11">IF($D11="","",$D11*INDEX('Допущения'!$C$25:$G$30,MATCH($C11,'Допущения'!$B$25:$B$30,0),2))</f>
        <v>24000</v>
      </c>
      <c r="G11" s="23">
        <f t="array" ref="G11">IF($D11="","",$D11*INDEX('Допущения'!$C$25:$G$30,MATCH($C11,'Допущения'!$B$25:$B$30,0),3))</f>
        <v>60000</v>
      </c>
      <c r="H11" s="23">
        <f t="array" ref="H11">IF($D11="","",$D11*INDEX('Допущения'!$C$25:$G$30,MATCH($C11,'Допущения'!$B$25:$B$30,0),4))</f>
        <v>100000</v>
      </c>
      <c r="I11" s="23">
        <f t="array" ref="I11">IF($D11="","",$D11*INDEX('Допущения'!$C$25:$G$30,MATCH($C11,'Допущения'!$B$25:$B$30,0),5))</f>
        <v>140000</v>
      </c>
      <c r="J11" s="23">
        <f t="shared" si="1"/>
        <v>330000</v>
      </c>
      <c r="K11" s="24"/>
      <c r="L11" s="25" t="s">
        <v>108</v>
      </c>
    </row>
    <row r="12">
      <c r="B12" s="11" t="s">
        <v>109</v>
      </c>
      <c r="C12" s="17" t="s">
        <v>64</v>
      </c>
      <c r="D12" s="18">
        <v>12000.0</v>
      </c>
      <c r="E12" s="23">
        <f t="array" ref="E12">IF($D12="","",$D12*INDEX('Допущения'!$C$25:$G$30,MATCH($C12,'Допущения'!$B$25:$B$30,0),1))</f>
        <v>12000</v>
      </c>
      <c r="F12" s="23">
        <f t="array" ref="F12">IF($D12="","",$D12*INDEX('Допущения'!$C$25:$G$30,MATCH($C12,'Допущения'!$B$25:$B$30,0),2))</f>
        <v>48000</v>
      </c>
      <c r="G12" s="23">
        <f t="array" ref="G12">IF($D12="","",$D12*INDEX('Допущения'!$C$25:$G$30,MATCH($C12,'Допущения'!$B$25:$B$30,0),3))</f>
        <v>120000</v>
      </c>
      <c r="H12" s="23">
        <f t="array" ref="H12">IF($D12="","",$D12*INDEX('Допущения'!$C$25:$G$30,MATCH($C12,'Допущения'!$B$25:$B$30,0),4))</f>
        <v>200000</v>
      </c>
      <c r="I12" s="23">
        <f t="array" ref="I12">IF($D12="","",$D12*INDEX('Допущения'!$C$25:$G$30,MATCH($C12,'Допущения'!$B$25:$B$30,0),5))</f>
        <v>280000</v>
      </c>
      <c r="J12" s="23">
        <f t="shared" si="1"/>
        <v>660000</v>
      </c>
      <c r="K12" s="24"/>
      <c r="L12" s="25" t="s">
        <v>110</v>
      </c>
    </row>
    <row r="13">
      <c r="B13" s="11" t="s">
        <v>111</v>
      </c>
      <c r="C13" s="17" t="s">
        <v>90</v>
      </c>
      <c r="D13" s="18">
        <v>18000.0</v>
      </c>
      <c r="E13" s="23">
        <f t="array" ref="E13">IF($D13="","",$D13*INDEX('Допущения'!$C$25:$G$30,MATCH($C13,'Допущения'!$B$25:$B$30,0),1))</f>
        <v>18000</v>
      </c>
      <c r="F13" s="23">
        <f t="array" ref="F13">IF($D13="","",$D13*INDEX('Допущения'!$C$25:$G$30,MATCH($C13,'Допущения'!$B$25:$B$30,0),2))</f>
        <v>19440</v>
      </c>
      <c r="G13" s="23">
        <f t="array" ref="G13">IF($D13="","",$D13*INDEX('Допущения'!$C$25:$G$30,MATCH($C13,'Допущения'!$B$25:$B$30,0),3))</f>
        <v>20995.2</v>
      </c>
      <c r="H13" s="23">
        <f t="array" ref="H13">IF($D13="","",$D13*INDEX('Допущения'!$C$25:$G$30,MATCH($C13,'Допущения'!$B$25:$B$30,0),4))</f>
        <v>22674.816</v>
      </c>
      <c r="I13" s="23">
        <f t="array" ref="I13">IF($D13="","",$D13*INDEX('Допущения'!$C$25:$G$30,MATCH($C13,'Допущения'!$B$25:$B$30,0),5))</f>
        <v>24488.80128</v>
      </c>
      <c r="J13" s="23">
        <f t="shared" si="1"/>
        <v>105598.8173</v>
      </c>
      <c r="K13" s="24"/>
      <c r="L13" s="25" t="s">
        <v>112</v>
      </c>
    </row>
    <row r="14">
      <c r="B14" s="11"/>
      <c r="C14" s="17" t="s">
        <v>88</v>
      </c>
      <c r="D14" s="18"/>
      <c r="E14" s="23" t="str">
        <f t="array" ref="E14">IF($D14="","",$D14*INDEX('Допущения'!$C$25:$G$30,MATCH($C14,'Допущения'!$B$25:$B$30,0),1))</f>
        <v/>
      </c>
      <c r="F14" s="23" t="str">
        <f t="array" ref="F14">IF($D14="","",$D14*INDEX('Допущения'!$C$25:$G$30,MATCH($C14,'Допущения'!$B$25:$B$30,0),2))</f>
        <v/>
      </c>
      <c r="G14" s="23" t="str">
        <f t="array" ref="G14">IF($D14="","",$D14*INDEX('Допущения'!$C$25:$G$30,MATCH($C14,'Допущения'!$B$25:$B$30,0),3))</f>
        <v/>
      </c>
      <c r="H14" s="23" t="str">
        <f t="array" ref="H14">IF($D14="","",$D14*INDEX('Допущения'!$C$25:$G$30,MATCH($C14,'Допущения'!$B$25:$B$30,0),4))</f>
        <v/>
      </c>
      <c r="I14" s="23" t="str">
        <f t="array" ref="I14">IF($D14="","",$D14*INDEX('Допущения'!$C$25:$G$30,MATCH($C14,'Допущения'!$B$25:$B$30,0),5))</f>
        <v/>
      </c>
      <c r="J14" s="23">
        <f t="shared" si="1"/>
        <v>0</v>
      </c>
      <c r="K14" s="24"/>
      <c r="L14" s="25" t="s">
        <v>113</v>
      </c>
    </row>
    <row r="15">
      <c r="B15" s="26" t="s">
        <v>114</v>
      </c>
      <c r="C15" s="27"/>
      <c r="D15" s="27"/>
      <c r="E15" s="28">
        <f t="shared" ref="E15:J15" si="2">SUM(E7:E14)</f>
        <v>105000</v>
      </c>
      <c r="F15" s="28">
        <f t="shared" si="2"/>
        <v>367440</v>
      </c>
      <c r="G15" s="28">
        <f t="shared" si="2"/>
        <v>890995.2</v>
      </c>
      <c r="H15" s="28">
        <f t="shared" si="2"/>
        <v>1472674.816</v>
      </c>
      <c r="I15" s="28">
        <f t="shared" si="2"/>
        <v>2054488.801</v>
      </c>
      <c r="J15" s="28">
        <f t="shared" si="2"/>
        <v>4890598.817</v>
      </c>
      <c r="K15" s="29">
        <f>IFERROR(J15/$J$51,0)</f>
        <v>0.08564285868</v>
      </c>
      <c r="L15" s="27"/>
    </row>
    <row r="16">
      <c r="C16" s="30"/>
    </row>
    <row r="17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>
      <c r="B18" s="11" t="s">
        <v>116</v>
      </c>
      <c r="C18" s="17" t="s">
        <v>64</v>
      </c>
      <c r="D18" s="18">
        <v>9000.0</v>
      </c>
      <c r="E18" s="23">
        <f t="array" ref="E18">IF($D18="","",$D18*INDEX('Допущения'!$C$25:$G$30,MATCH($C18,'Допущения'!$B$25:$B$30,0),1))</f>
        <v>9000</v>
      </c>
      <c r="F18" s="23">
        <f t="array" ref="F18">IF($D18="","",$D18*INDEX('Допущения'!$C$25:$G$30,MATCH($C18,'Допущения'!$B$25:$B$30,0),2))</f>
        <v>36000</v>
      </c>
      <c r="G18" s="23">
        <f t="array" ref="G18">IF($D18="","",$D18*INDEX('Допущения'!$C$25:$G$30,MATCH($C18,'Допущения'!$B$25:$B$30,0),3))</f>
        <v>90000</v>
      </c>
      <c r="H18" s="23">
        <f t="array" ref="H18">IF($D18="","",$D18*INDEX('Допущения'!$C$25:$G$30,MATCH($C18,'Допущения'!$B$25:$B$30,0),4))</f>
        <v>150000</v>
      </c>
      <c r="I18" s="23">
        <f t="array" ref="I18">IF($D18="","",$D18*INDEX('Допущения'!$C$25:$G$30,MATCH($C18,'Допущения'!$B$25:$B$30,0),5))</f>
        <v>210000</v>
      </c>
      <c r="J18" s="23">
        <f t="shared" ref="J18:J23" si="3">SUM(E18:I18)</f>
        <v>495000</v>
      </c>
      <c r="K18" s="24"/>
      <c r="L18" s="25" t="s">
        <v>117</v>
      </c>
    </row>
    <row r="19">
      <c r="B19" s="11" t="s">
        <v>118</v>
      </c>
      <c r="C19" s="17" t="s">
        <v>90</v>
      </c>
      <c r="D19" s="18">
        <v>3600.0</v>
      </c>
      <c r="E19" s="23">
        <f t="array" ref="E19">IF($D19="","",$D19*INDEX('Допущения'!$C$25:$G$30,MATCH($C19,'Допущения'!$B$25:$B$30,0),1))</f>
        <v>3600</v>
      </c>
      <c r="F19" s="23">
        <f t="array" ref="F19">IF($D19="","",$D19*INDEX('Допущения'!$C$25:$G$30,MATCH($C19,'Допущения'!$B$25:$B$30,0),2))</f>
        <v>3888</v>
      </c>
      <c r="G19" s="23">
        <f t="array" ref="G19">IF($D19="","",$D19*INDEX('Допущения'!$C$25:$G$30,MATCH($C19,'Допущения'!$B$25:$B$30,0),3))</f>
        <v>4199.04</v>
      </c>
      <c r="H19" s="23">
        <f t="array" ref="H19">IF($D19="","",$D19*INDEX('Допущения'!$C$25:$G$30,MATCH($C19,'Допущения'!$B$25:$B$30,0),4))</f>
        <v>4534.9632</v>
      </c>
      <c r="I19" s="23">
        <f t="array" ref="I19">IF($D19="","",$D19*INDEX('Допущения'!$C$25:$G$30,MATCH($C19,'Допущения'!$B$25:$B$30,0),5))</f>
        <v>4897.760256</v>
      </c>
      <c r="J19" s="23">
        <f t="shared" si="3"/>
        <v>21119.76346</v>
      </c>
      <c r="K19" s="24"/>
      <c r="L19" s="25" t="s">
        <v>119</v>
      </c>
    </row>
    <row r="20">
      <c r="B20" s="11" t="s">
        <v>120</v>
      </c>
      <c r="C20" s="17" t="s">
        <v>64</v>
      </c>
      <c r="D20" s="18">
        <v>7200.0</v>
      </c>
      <c r="E20" s="23">
        <f t="array" ref="E20">IF($D20="","",$D20*INDEX('Допущения'!$C$25:$G$30,MATCH($C20,'Допущения'!$B$25:$B$30,0),1))</f>
        <v>7200</v>
      </c>
      <c r="F20" s="23">
        <f t="array" ref="F20">IF($D20="","",$D20*INDEX('Допущения'!$C$25:$G$30,MATCH($C20,'Допущения'!$B$25:$B$30,0),2))</f>
        <v>28800</v>
      </c>
      <c r="G20" s="23">
        <f t="array" ref="G20">IF($D20="","",$D20*INDEX('Допущения'!$C$25:$G$30,MATCH($C20,'Допущения'!$B$25:$B$30,0),3))</f>
        <v>72000</v>
      </c>
      <c r="H20" s="23">
        <f t="array" ref="H20">IF($D20="","",$D20*INDEX('Допущения'!$C$25:$G$30,MATCH($C20,'Допущения'!$B$25:$B$30,0),4))</f>
        <v>120000</v>
      </c>
      <c r="I20" s="23">
        <f t="array" ref="I20">IF($D20="","",$D20*INDEX('Допущения'!$C$25:$G$30,MATCH($C20,'Допущения'!$B$25:$B$30,0),5))</f>
        <v>168000</v>
      </c>
      <c r="J20" s="23">
        <f t="shared" si="3"/>
        <v>396000</v>
      </c>
      <c r="K20" s="24"/>
      <c r="L20" s="25" t="s">
        <v>121</v>
      </c>
    </row>
    <row r="21" ht="15.75" customHeight="1">
      <c r="B21" s="11" t="s">
        <v>122</v>
      </c>
      <c r="C21" s="17" t="s">
        <v>90</v>
      </c>
      <c r="D21" s="18">
        <v>3000.0</v>
      </c>
      <c r="E21" s="23">
        <f t="array" ref="E21">IF($D21="","",$D21*INDEX('Допущения'!$C$25:$G$30,MATCH($C21,'Допущения'!$B$25:$B$30,0),1))</f>
        <v>3000</v>
      </c>
      <c r="F21" s="23">
        <f t="array" ref="F21">IF($D21="","",$D21*INDEX('Допущения'!$C$25:$G$30,MATCH($C21,'Допущения'!$B$25:$B$30,0),2))</f>
        <v>3240</v>
      </c>
      <c r="G21" s="23">
        <f t="array" ref="G21">IF($D21="","",$D21*INDEX('Допущения'!$C$25:$G$30,MATCH($C21,'Допущения'!$B$25:$B$30,0),3))</f>
        <v>3499.2</v>
      </c>
      <c r="H21" s="23">
        <f t="array" ref="H21">IF($D21="","",$D21*INDEX('Допущения'!$C$25:$G$30,MATCH($C21,'Допущения'!$B$25:$B$30,0),4))</f>
        <v>3779.136</v>
      </c>
      <c r="I21" s="23">
        <f t="array" ref="I21">IF($D21="","",$D21*INDEX('Допущения'!$C$25:$G$30,MATCH($C21,'Допущения'!$B$25:$B$30,0),5))</f>
        <v>4081.46688</v>
      </c>
      <c r="J21" s="23">
        <f t="shared" si="3"/>
        <v>17599.80288</v>
      </c>
      <c r="K21" s="24"/>
      <c r="L21" s="25" t="s">
        <v>123</v>
      </c>
    </row>
    <row r="22" ht="15.75" customHeight="1">
      <c r="B22" s="11" t="s">
        <v>124</v>
      </c>
      <c r="C22" s="17" t="s">
        <v>90</v>
      </c>
      <c r="D22" s="18">
        <v>2400.0</v>
      </c>
      <c r="E22" s="23">
        <f t="array" ref="E22">IF($D22="","",$D22*INDEX('Допущения'!$C$25:$G$30,MATCH($C22,'Допущения'!$B$25:$B$30,0),1))</f>
        <v>2400</v>
      </c>
      <c r="F22" s="23">
        <f t="array" ref="F22">IF($D22="","",$D22*INDEX('Допущения'!$C$25:$G$30,MATCH($C22,'Допущения'!$B$25:$B$30,0),2))</f>
        <v>2592</v>
      </c>
      <c r="G22" s="23">
        <f t="array" ref="G22">IF($D22="","",$D22*INDEX('Допущения'!$C$25:$G$30,MATCH($C22,'Допущения'!$B$25:$B$30,0),3))</f>
        <v>2799.36</v>
      </c>
      <c r="H22" s="23">
        <f t="array" ref="H22">IF($D22="","",$D22*INDEX('Допущения'!$C$25:$G$30,MATCH($C22,'Допущения'!$B$25:$B$30,0),4))</f>
        <v>3023.3088</v>
      </c>
      <c r="I22" s="23">
        <f t="array" ref="I22">IF($D22="","",$D22*INDEX('Допущения'!$C$25:$G$30,MATCH($C22,'Допущения'!$B$25:$B$30,0),5))</f>
        <v>3265.173504</v>
      </c>
      <c r="J22" s="23">
        <f t="shared" si="3"/>
        <v>14079.8423</v>
      </c>
      <c r="K22" s="24"/>
      <c r="L22" s="25" t="s">
        <v>125</v>
      </c>
    </row>
    <row r="23" ht="15.75" customHeight="1">
      <c r="B23" s="11"/>
      <c r="C23" s="17" t="s">
        <v>88</v>
      </c>
      <c r="D23" s="18"/>
      <c r="E23" s="23" t="str">
        <f t="array" ref="E23">IF($D23="","",$D23*INDEX('Допущения'!$C$25:$G$30,MATCH($C23,'Допущения'!$B$25:$B$30,0),1))</f>
        <v/>
      </c>
      <c r="F23" s="23" t="str">
        <f t="array" ref="F23">IF($D23="","",$D23*INDEX('Допущения'!$C$25:$G$30,MATCH($C23,'Допущения'!$B$25:$B$30,0),2))</f>
        <v/>
      </c>
      <c r="G23" s="23" t="str">
        <f t="array" ref="G23">IF($D23="","",$D23*INDEX('Допущения'!$C$25:$G$30,MATCH($C23,'Допущения'!$B$25:$B$30,0),3))</f>
        <v/>
      </c>
      <c r="H23" s="23" t="str">
        <f t="array" ref="H23">IF($D23="","",$D23*INDEX('Допущения'!$C$25:$G$30,MATCH($C23,'Допущения'!$B$25:$B$30,0),4))</f>
        <v/>
      </c>
      <c r="I23" s="23" t="str">
        <f t="array" ref="I23">IF($D23="","",$D23*INDEX('Допущения'!$C$25:$G$30,MATCH($C23,'Допущения'!$B$25:$B$30,0),5))</f>
        <v/>
      </c>
      <c r="J23" s="23">
        <f t="shared" si="3"/>
        <v>0</v>
      </c>
      <c r="K23" s="24"/>
      <c r="L23" s="25" t="s">
        <v>113</v>
      </c>
    </row>
    <row r="24" ht="15.75" customHeight="1">
      <c r="B24" s="26" t="s">
        <v>114</v>
      </c>
      <c r="C24" s="27"/>
      <c r="D24" s="27"/>
      <c r="E24" s="28">
        <f t="shared" ref="E24:J24" si="4">SUM(E18:E23)</f>
        <v>25200</v>
      </c>
      <c r="F24" s="28">
        <f t="shared" si="4"/>
        <v>74520</v>
      </c>
      <c r="G24" s="28">
        <f t="shared" si="4"/>
        <v>172497.6</v>
      </c>
      <c r="H24" s="28">
        <f t="shared" si="4"/>
        <v>281337.408</v>
      </c>
      <c r="I24" s="28">
        <f t="shared" si="4"/>
        <v>390244.4006</v>
      </c>
      <c r="J24" s="28">
        <f t="shared" si="4"/>
        <v>943799.4086</v>
      </c>
      <c r="K24" s="29">
        <f>IFERROR(J24/$J$51,0)</f>
        <v>0.01652756286</v>
      </c>
      <c r="L24" s="27"/>
    </row>
    <row r="25" ht="15.75" customHeight="1">
      <c r="C25" s="30"/>
    </row>
    <row r="26" ht="15.75" customHeight="1">
      <c r="B26" s="7" t="s">
        <v>126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ht="15.75" customHeight="1">
      <c r="B27" s="11" t="s">
        <v>127</v>
      </c>
      <c r="C27" s="17" t="s">
        <v>97</v>
      </c>
      <c r="D27" s="18">
        <v>225000.0</v>
      </c>
      <c r="E27" s="23">
        <f t="array" ref="E27">IF($D27="","",$D27*INDEX('Допущения'!$C$25:$G$30,MATCH($C27,'Допущения'!$B$25:$B$30,0),1))</f>
        <v>225000</v>
      </c>
      <c r="F27" s="23">
        <f t="array" ref="F27">IF($D27="","",$D27*INDEX('Допущения'!$C$25:$G$30,MATCH($C27,'Допущения'!$B$25:$B$30,0),2))</f>
        <v>1404000</v>
      </c>
      <c r="G27" s="23">
        <f t="array" ref="G27">IF($D27="","",$D27*INDEX('Допущения'!$C$25:$G$30,MATCH($C27,'Допущения'!$B$25:$B$30,0),3))</f>
        <v>4860000</v>
      </c>
      <c r="H27" s="23">
        <f t="array" ref="H27">IF($D27="","",$D27*INDEX('Допущения'!$C$25:$G$30,MATCH($C27,'Допущения'!$B$25:$B$30,0),4))</f>
        <v>10080000</v>
      </c>
      <c r="I27" s="23">
        <f t="array" ref="I27">IF($D27="","",$D27*INDEX('Допущения'!$C$25:$G$30,MATCH($C27,'Допущения'!$B$25:$B$30,0),5))</f>
        <v>15660000</v>
      </c>
      <c r="J27" s="23">
        <f t="shared" ref="J27:J31" si="5">SUM(E27:I27)</f>
        <v>32229000</v>
      </c>
      <c r="K27" s="24"/>
      <c r="L27" s="25" t="s">
        <v>128</v>
      </c>
    </row>
    <row r="28" ht="15.75" customHeight="1">
      <c r="B28" s="11" t="s">
        <v>129</v>
      </c>
      <c r="C28" s="17" t="s">
        <v>95</v>
      </c>
      <c r="D28" s="18">
        <v>12000.0</v>
      </c>
      <c r="E28" s="23">
        <f t="array" ref="E28">IF($D28="","",$D28*INDEX('Допущения'!$C$25:$G$30,MATCH($C28,'Допущения'!$B$25:$B$30,0),1))</f>
        <v>12000</v>
      </c>
      <c r="F28" s="23">
        <f t="array" ref="F28">IF($D28="","",$D28*INDEX('Допущения'!$C$25:$G$30,MATCH($C28,'Допущения'!$B$25:$B$30,0),2))</f>
        <v>72000</v>
      </c>
      <c r="G28" s="23">
        <f t="array" ref="G28">IF($D28="","",$D28*INDEX('Допущения'!$C$25:$G$30,MATCH($C28,'Допущения'!$B$25:$B$30,0),3))</f>
        <v>240000</v>
      </c>
      <c r="H28" s="23">
        <f t="array" ref="H28">IF($D28="","",$D28*INDEX('Допущения'!$C$25:$G$30,MATCH($C28,'Допущения'!$B$25:$B$30,0),4))</f>
        <v>480000</v>
      </c>
      <c r="I28" s="23">
        <f t="array" ref="I28">IF($D28="","",$D28*INDEX('Допущения'!$C$25:$G$30,MATCH($C28,'Допущения'!$B$25:$B$30,0),5))</f>
        <v>720000</v>
      </c>
      <c r="J28" s="23">
        <f t="shared" si="5"/>
        <v>1524000</v>
      </c>
      <c r="K28" s="24"/>
      <c r="L28" s="25" t="s">
        <v>130</v>
      </c>
    </row>
    <row r="29" ht="15.75" customHeight="1">
      <c r="B29" s="11" t="s">
        <v>131</v>
      </c>
      <c r="C29" s="17" t="s">
        <v>95</v>
      </c>
      <c r="D29" s="18">
        <v>9000.0</v>
      </c>
      <c r="E29" s="23">
        <f t="array" ref="E29">IF($D29="","",$D29*INDEX('Допущения'!$C$25:$G$30,MATCH($C29,'Допущения'!$B$25:$B$30,0),1))</f>
        <v>9000</v>
      </c>
      <c r="F29" s="23">
        <f t="array" ref="F29">IF($D29="","",$D29*INDEX('Допущения'!$C$25:$G$30,MATCH($C29,'Допущения'!$B$25:$B$30,0),2))</f>
        <v>54000</v>
      </c>
      <c r="G29" s="23">
        <f t="array" ref="G29">IF($D29="","",$D29*INDEX('Допущения'!$C$25:$G$30,MATCH($C29,'Допущения'!$B$25:$B$30,0),3))</f>
        <v>180000</v>
      </c>
      <c r="H29" s="23">
        <f t="array" ref="H29">IF($D29="","",$D29*INDEX('Допущения'!$C$25:$G$30,MATCH($C29,'Допущения'!$B$25:$B$30,0),4))</f>
        <v>360000</v>
      </c>
      <c r="I29" s="23">
        <f t="array" ref="I29">IF($D29="","",$D29*INDEX('Допущения'!$C$25:$G$30,MATCH($C29,'Допущения'!$B$25:$B$30,0),5))</f>
        <v>540000</v>
      </c>
      <c r="J29" s="23">
        <f t="shared" si="5"/>
        <v>1143000</v>
      </c>
      <c r="K29" s="24"/>
      <c r="L29" s="25" t="s">
        <v>132</v>
      </c>
    </row>
    <row r="30" ht="15.75" customHeight="1">
      <c r="B30" s="11" t="s">
        <v>133</v>
      </c>
      <c r="C30" s="17" t="s">
        <v>95</v>
      </c>
      <c r="D30" s="18">
        <v>30000.0</v>
      </c>
      <c r="E30" s="23">
        <f t="array" ref="E30">IF($D30="","",$D30*INDEX('Допущения'!$C$25:$G$30,MATCH($C30,'Допущения'!$B$25:$B$30,0),1))</f>
        <v>30000</v>
      </c>
      <c r="F30" s="23">
        <f t="array" ref="F30">IF($D30="","",$D30*INDEX('Допущения'!$C$25:$G$30,MATCH($C30,'Допущения'!$B$25:$B$30,0),2))</f>
        <v>180000</v>
      </c>
      <c r="G30" s="23">
        <f t="array" ref="G30">IF($D30="","",$D30*INDEX('Допущения'!$C$25:$G$30,MATCH($C30,'Допущения'!$B$25:$B$30,0),3))</f>
        <v>600000</v>
      </c>
      <c r="H30" s="23">
        <f t="array" ref="H30">IF($D30="","",$D30*INDEX('Допущения'!$C$25:$G$30,MATCH($C30,'Допущения'!$B$25:$B$30,0),4))</f>
        <v>1200000</v>
      </c>
      <c r="I30" s="23">
        <f t="array" ref="I30">IF($D30="","",$D30*INDEX('Допущения'!$C$25:$G$30,MATCH($C30,'Допущения'!$B$25:$B$30,0),5))</f>
        <v>1800000</v>
      </c>
      <c r="J30" s="23">
        <f t="shared" si="5"/>
        <v>3810000</v>
      </c>
      <c r="K30" s="24"/>
      <c r="L30" s="25" t="s">
        <v>134</v>
      </c>
    </row>
    <row r="31" ht="15.75" customHeight="1">
      <c r="B31" s="11"/>
      <c r="C31" s="17" t="s">
        <v>88</v>
      </c>
      <c r="D31" s="18"/>
      <c r="E31" s="23" t="str">
        <f t="array" ref="E31">IF($D31="","",$D31*INDEX('Допущения'!$C$25:$G$30,MATCH($C31,'Допущения'!$B$25:$B$30,0),1))</f>
        <v/>
      </c>
      <c r="F31" s="23" t="str">
        <f t="array" ref="F31">IF($D31="","",$D31*INDEX('Допущения'!$C$25:$G$30,MATCH($C31,'Допущения'!$B$25:$B$30,0),2))</f>
        <v/>
      </c>
      <c r="G31" s="23" t="str">
        <f t="array" ref="G31">IF($D31="","",$D31*INDEX('Допущения'!$C$25:$G$30,MATCH($C31,'Допущения'!$B$25:$B$30,0),3))</f>
        <v/>
      </c>
      <c r="H31" s="23" t="str">
        <f t="array" ref="H31">IF($D31="","",$D31*INDEX('Допущения'!$C$25:$G$30,MATCH($C31,'Допущения'!$B$25:$B$30,0),4))</f>
        <v/>
      </c>
      <c r="I31" s="23" t="str">
        <f t="array" ref="I31">IF($D31="","",$D31*INDEX('Допущения'!$C$25:$G$30,MATCH($C31,'Допущения'!$B$25:$B$30,0),5))</f>
        <v/>
      </c>
      <c r="J31" s="23">
        <f t="shared" si="5"/>
        <v>0</v>
      </c>
      <c r="K31" s="24"/>
      <c r="L31" s="25" t="s">
        <v>113</v>
      </c>
    </row>
    <row r="32" ht="15.75" customHeight="1">
      <c r="B32" s="26" t="s">
        <v>114</v>
      </c>
      <c r="C32" s="27"/>
      <c r="D32" s="27"/>
      <c r="E32" s="28">
        <f t="shared" ref="E32:J32" si="6">SUM(E27:E31)</f>
        <v>276000</v>
      </c>
      <c r="F32" s="28">
        <f t="shared" si="6"/>
        <v>1710000</v>
      </c>
      <c r="G32" s="28">
        <f t="shared" si="6"/>
        <v>5880000</v>
      </c>
      <c r="H32" s="28">
        <f t="shared" si="6"/>
        <v>12120000</v>
      </c>
      <c r="I32" s="28">
        <f t="shared" si="6"/>
        <v>18720000</v>
      </c>
      <c r="J32" s="28">
        <f t="shared" si="6"/>
        <v>38706000</v>
      </c>
      <c r="K32" s="29">
        <f>IFERROR(J32/$J$51,0)</f>
        <v>0.6778091215</v>
      </c>
      <c r="L32" s="27"/>
    </row>
    <row r="33" ht="15.75" customHeight="1">
      <c r="C33" s="30"/>
    </row>
    <row r="34" ht="15.75" customHeight="1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B35" s="11" t="s">
        <v>136</v>
      </c>
      <c r="C35" s="17" t="s">
        <v>92</v>
      </c>
      <c r="D35" s="18">
        <v>360000.0</v>
      </c>
      <c r="E35" s="23">
        <f t="array" ref="E35">IF($D35="","",$D35*INDEX('Допущения'!$C$25:$G$30,MATCH($C35,'Допущения'!$B$25:$B$30,0),1))</f>
        <v>360000</v>
      </c>
      <c r="F35" s="23">
        <f t="array" ref="F35">IF($D35="","",$D35*INDEX('Допущения'!$C$25:$G$30,MATCH($C35,'Допущения'!$B$25:$B$30,0),2))</f>
        <v>403200</v>
      </c>
      <c r="G35" s="23">
        <f t="array" ref="G35">IF($D35="","",$D35*INDEX('Допущения'!$C$25:$G$30,MATCH($C35,'Допущения'!$B$25:$B$30,0),3))</f>
        <v>451584</v>
      </c>
      <c r="H35" s="23">
        <f t="array" ref="H35">IF($D35="","",$D35*INDEX('Допущения'!$C$25:$G$30,MATCH($C35,'Допущения'!$B$25:$B$30,0),4))</f>
        <v>505774.08</v>
      </c>
      <c r="I35" s="23">
        <f t="array" ref="I35">IF($D35="","",$D35*INDEX('Допущения'!$C$25:$G$30,MATCH($C35,'Допущения'!$B$25:$B$30,0),5))</f>
        <v>566466.9696</v>
      </c>
      <c r="J35" s="23">
        <f t="shared" ref="J35:J39" si="7">SUM(E35:I35)</f>
        <v>2287025.05</v>
      </c>
      <c r="K35" s="24"/>
      <c r="L35" s="25" t="s">
        <v>137</v>
      </c>
    </row>
    <row r="36" ht="15.75" customHeight="1">
      <c r="B36" s="11" t="s">
        <v>138</v>
      </c>
      <c r="C36" s="17" t="s">
        <v>92</v>
      </c>
      <c r="D36" s="18">
        <v>120000.0</v>
      </c>
      <c r="E36" s="23">
        <f t="array" ref="E36">IF($D36="","",$D36*INDEX('Допущения'!$C$25:$G$30,MATCH($C36,'Допущения'!$B$25:$B$30,0),1))</f>
        <v>120000</v>
      </c>
      <c r="F36" s="23">
        <f t="array" ref="F36">IF($D36="","",$D36*INDEX('Допущения'!$C$25:$G$30,MATCH($C36,'Допущения'!$B$25:$B$30,0),2))</f>
        <v>134400</v>
      </c>
      <c r="G36" s="23">
        <f t="array" ref="G36">IF($D36="","",$D36*INDEX('Допущения'!$C$25:$G$30,MATCH($C36,'Допущения'!$B$25:$B$30,0),3))</f>
        <v>150528</v>
      </c>
      <c r="H36" s="23">
        <f t="array" ref="H36">IF($D36="","",$D36*INDEX('Допущения'!$C$25:$G$30,MATCH($C36,'Допущения'!$B$25:$B$30,0),4))</f>
        <v>168591.36</v>
      </c>
      <c r="I36" s="23">
        <f t="array" ref="I36">IF($D36="","",$D36*INDEX('Допущения'!$C$25:$G$30,MATCH($C36,'Допущения'!$B$25:$B$30,0),5))</f>
        <v>188822.3232</v>
      </c>
      <c r="J36" s="23">
        <f t="shared" si="7"/>
        <v>762341.6832</v>
      </c>
      <c r="K36" s="24"/>
      <c r="L36" s="25" t="s">
        <v>139</v>
      </c>
    </row>
    <row r="37" ht="15.75" customHeight="1">
      <c r="B37" s="11" t="s">
        <v>140</v>
      </c>
      <c r="C37" s="17" t="s">
        <v>92</v>
      </c>
      <c r="D37" s="18">
        <v>96000.0</v>
      </c>
      <c r="E37" s="23">
        <f t="array" ref="E37">IF($D37="","",$D37*INDEX('Допущения'!$C$25:$G$30,MATCH($C37,'Допущения'!$B$25:$B$30,0),1))</f>
        <v>96000</v>
      </c>
      <c r="F37" s="23">
        <f t="array" ref="F37">IF($D37="","",$D37*INDEX('Допущения'!$C$25:$G$30,MATCH($C37,'Допущения'!$B$25:$B$30,0),2))</f>
        <v>107520</v>
      </c>
      <c r="G37" s="23">
        <f t="array" ref="G37">IF($D37="","",$D37*INDEX('Допущения'!$C$25:$G$30,MATCH($C37,'Допущения'!$B$25:$B$30,0),3))</f>
        <v>120422.4</v>
      </c>
      <c r="H37" s="23">
        <f t="array" ref="H37">IF($D37="","",$D37*INDEX('Допущения'!$C$25:$G$30,MATCH($C37,'Допущения'!$B$25:$B$30,0),4))</f>
        <v>134873.088</v>
      </c>
      <c r="I37" s="23">
        <f t="array" ref="I37">IF($D37="","",$D37*INDEX('Допущения'!$C$25:$G$30,MATCH($C37,'Допущения'!$B$25:$B$30,0),5))</f>
        <v>151057.8586</v>
      </c>
      <c r="J37" s="23">
        <f t="shared" si="7"/>
        <v>609873.3466</v>
      </c>
      <c r="K37" s="24"/>
      <c r="L37" s="25" t="s">
        <v>141</v>
      </c>
    </row>
    <row r="38" ht="15.75" customHeight="1">
      <c r="B38" s="11" t="s">
        <v>142</v>
      </c>
      <c r="C38" s="17" t="s">
        <v>92</v>
      </c>
      <c r="D38" s="18">
        <v>150000.0</v>
      </c>
      <c r="E38" s="23">
        <f t="array" ref="E38">IF($D38="","",$D38*INDEX('Допущения'!$C$25:$G$30,MATCH($C38,'Допущения'!$B$25:$B$30,0),1))</f>
        <v>150000</v>
      </c>
      <c r="F38" s="23">
        <f t="array" ref="F38">IF($D38="","",$D38*INDEX('Допущения'!$C$25:$G$30,MATCH($C38,'Допущения'!$B$25:$B$30,0),2))</f>
        <v>168000</v>
      </c>
      <c r="G38" s="23">
        <f t="array" ref="G38">IF($D38="","",$D38*INDEX('Допущения'!$C$25:$G$30,MATCH($C38,'Допущения'!$B$25:$B$30,0),3))</f>
        <v>188160</v>
      </c>
      <c r="H38" s="23">
        <f t="array" ref="H38">IF($D38="","",$D38*INDEX('Допущения'!$C$25:$G$30,MATCH($C38,'Допущения'!$B$25:$B$30,0),4))</f>
        <v>210739.2</v>
      </c>
      <c r="I38" s="23">
        <f t="array" ref="I38">IF($D38="","",$D38*INDEX('Допущения'!$C$25:$G$30,MATCH($C38,'Допущения'!$B$25:$B$30,0),5))</f>
        <v>236027.904</v>
      </c>
      <c r="J38" s="23">
        <f t="shared" si="7"/>
        <v>952927.104</v>
      </c>
      <c r="K38" s="24"/>
      <c r="L38" s="25" t="s">
        <v>143</v>
      </c>
    </row>
    <row r="39" ht="15.75" customHeight="1">
      <c r="B39" s="11"/>
      <c r="C39" s="17" t="s">
        <v>88</v>
      </c>
      <c r="D39" s="18"/>
      <c r="E39" s="23" t="str">
        <f t="array" ref="E39">IF($D39="","",$D39*INDEX('Допущения'!$C$25:$G$30,MATCH($C39,'Допущения'!$B$25:$B$30,0),1))</f>
        <v/>
      </c>
      <c r="F39" s="23" t="str">
        <f t="array" ref="F39">IF($D39="","",$D39*INDEX('Допущения'!$C$25:$G$30,MATCH($C39,'Допущения'!$B$25:$B$30,0),2))</f>
        <v/>
      </c>
      <c r="G39" s="23" t="str">
        <f t="array" ref="G39">IF($D39="","",$D39*INDEX('Допущения'!$C$25:$G$30,MATCH($C39,'Допущения'!$B$25:$B$30,0),3))</f>
        <v/>
      </c>
      <c r="H39" s="23" t="str">
        <f t="array" ref="H39">IF($D39="","",$D39*INDEX('Допущения'!$C$25:$G$30,MATCH($C39,'Допущения'!$B$25:$B$30,0),4))</f>
        <v/>
      </c>
      <c r="I39" s="23" t="str">
        <f t="array" ref="I39">IF($D39="","",$D39*INDEX('Допущения'!$C$25:$G$30,MATCH($C39,'Допущения'!$B$25:$B$30,0),5))</f>
        <v/>
      </c>
      <c r="J39" s="23">
        <f t="shared" si="7"/>
        <v>0</v>
      </c>
      <c r="K39" s="24"/>
      <c r="L39" s="25" t="s">
        <v>113</v>
      </c>
    </row>
    <row r="40" ht="15.75" customHeight="1">
      <c r="B40" s="26" t="s">
        <v>114</v>
      </c>
      <c r="C40" s="27"/>
      <c r="D40" s="27"/>
      <c r="E40" s="28">
        <f t="shared" ref="E40:J40" si="8">SUM(E35:E39)</f>
        <v>726000</v>
      </c>
      <c r="F40" s="28">
        <f t="shared" si="8"/>
        <v>813120</v>
      </c>
      <c r="G40" s="28">
        <f t="shared" si="8"/>
        <v>910694.4</v>
      </c>
      <c r="H40" s="28">
        <f t="shared" si="8"/>
        <v>1019977.728</v>
      </c>
      <c r="I40" s="28">
        <f t="shared" si="8"/>
        <v>1142375.055</v>
      </c>
      <c r="J40" s="28">
        <f t="shared" si="8"/>
        <v>4612167.183</v>
      </c>
      <c r="K40" s="29">
        <f>IFERROR(J40/$J$51,0)</f>
        <v>0.08076703836</v>
      </c>
      <c r="L40" s="27"/>
    </row>
    <row r="41" ht="15.75" customHeight="1">
      <c r="C41" s="30"/>
    </row>
    <row r="42" ht="15.75" customHeight="1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B43" s="11" t="s">
        <v>145</v>
      </c>
      <c r="C43" s="17" t="s">
        <v>88</v>
      </c>
      <c r="D43" s="18">
        <v>25000.0</v>
      </c>
      <c r="E43" s="23">
        <f t="array" ref="E43">IF($D43="","",$D43*INDEX('Допущения'!$C$25:$G$30,MATCH($C43,'Допущения'!$B$25:$B$30,0),1))</f>
        <v>25000</v>
      </c>
      <c r="F43" s="23">
        <f t="array" ref="F43">IF($D43="","",$D43*INDEX('Допущения'!$C$25:$G$30,MATCH($C43,'Допущения'!$B$25:$B$30,0),2))</f>
        <v>25000</v>
      </c>
      <c r="G43" s="23">
        <f t="array" ref="G43">IF($D43="","",$D43*INDEX('Допущения'!$C$25:$G$30,MATCH($C43,'Допущения'!$B$25:$B$30,0),3))</f>
        <v>25000</v>
      </c>
      <c r="H43" s="23">
        <f t="array" ref="H43">IF($D43="","",$D43*INDEX('Допущения'!$C$25:$G$30,MATCH($C43,'Допущения'!$B$25:$B$30,0),4))</f>
        <v>25000</v>
      </c>
      <c r="I43" s="23">
        <f t="array" ref="I43">IF($D43="","",$D43*INDEX('Допущения'!$C$25:$G$30,MATCH($C43,'Допущения'!$B$25:$B$30,0),5))</f>
        <v>25000</v>
      </c>
      <c r="J43" s="23">
        <f t="shared" ref="J43:J47" si="9">SUM(E43:I43)</f>
        <v>125000</v>
      </c>
      <c r="K43" s="24"/>
      <c r="L43" s="25" t="s">
        <v>146</v>
      </c>
    </row>
    <row r="44" ht="15.75" customHeight="1">
      <c r="B44" s="11" t="s">
        <v>147</v>
      </c>
      <c r="C44" s="17" t="s">
        <v>90</v>
      </c>
      <c r="D44" s="18">
        <v>15000.0</v>
      </c>
      <c r="E44" s="23">
        <f t="array" ref="E44">IF($D44="","",$D44*INDEX('Допущения'!$C$25:$G$30,MATCH($C44,'Допущения'!$B$25:$B$30,0),1))</f>
        <v>15000</v>
      </c>
      <c r="F44" s="23">
        <f t="array" ref="F44">IF($D44="","",$D44*INDEX('Допущения'!$C$25:$G$30,MATCH($C44,'Допущения'!$B$25:$B$30,0),2))</f>
        <v>16200</v>
      </c>
      <c r="G44" s="23">
        <f t="array" ref="G44">IF($D44="","",$D44*INDEX('Допущения'!$C$25:$G$30,MATCH($C44,'Допущения'!$B$25:$B$30,0),3))</f>
        <v>17496</v>
      </c>
      <c r="H44" s="23">
        <f t="array" ref="H44">IF($D44="","",$D44*INDEX('Допущения'!$C$25:$G$30,MATCH($C44,'Допущения'!$B$25:$B$30,0),4))</f>
        <v>18895.68</v>
      </c>
      <c r="I44" s="23">
        <f t="array" ref="I44">IF($D44="","",$D44*INDEX('Допущения'!$C$25:$G$30,MATCH($C44,'Допущения'!$B$25:$B$30,0),5))</f>
        <v>20407.3344</v>
      </c>
      <c r="J44" s="23">
        <f t="shared" si="9"/>
        <v>87999.0144</v>
      </c>
      <c r="K44" s="24"/>
      <c r="L44" s="25" t="s">
        <v>148</v>
      </c>
    </row>
    <row r="45" ht="15.75" customHeight="1">
      <c r="B45" s="11" t="s">
        <v>149</v>
      </c>
      <c r="C45" s="17" t="s">
        <v>88</v>
      </c>
      <c r="D45" s="18">
        <v>20000.0</v>
      </c>
      <c r="E45" s="23">
        <f t="array" ref="E45">IF($D45="","",$D45*INDEX('Допущения'!$C$25:$G$30,MATCH($C45,'Допущения'!$B$25:$B$30,0),1))</f>
        <v>20000</v>
      </c>
      <c r="F45" s="23">
        <f t="array" ref="F45">IF($D45="","",$D45*INDEX('Допущения'!$C$25:$G$30,MATCH($C45,'Допущения'!$B$25:$B$30,0),2))</f>
        <v>20000</v>
      </c>
      <c r="G45" s="23">
        <f t="array" ref="G45">IF($D45="","",$D45*INDEX('Допущения'!$C$25:$G$30,MATCH($C45,'Допущения'!$B$25:$B$30,0),3))</f>
        <v>20000</v>
      </c>
      <c r="H45" s="23">
        <f t="array" ref="H45">IF($D45="","",$D45*INDEX('Допущения'!$C$25:$G$30,MATCH($C45,'Допущения'!$B$25:$B$30,0),4))</f>
        <v>20000</v>
      </c>
      <c r="I45" s="23">
        <f t="array" ref="I45">IF($D45="","",$D45*INDEX('Допущения'!$C$25:$G$30,MATCH($C45,'Допущения'!$B$25:$B$30,0),5))</f>
        <v>20000</v>
      </c>
      <c r="J45" s="23">
        <f t="shared" si="9"/>
        <v>100000</v>
      </c>
      <c r="K45" s="24"/>
      <c r="L45" s="25" t="s">
        <v>150</v>
      </c>
    </row>
    <row r="46" ht="15.75" customHeight="1">
      <c r="B46" s="11" t="s">
        <v>151</v>
      </c>
      <c r="C46" s="17" t="s">
        <v>92</v>
      </c>
      <c r="D46" s="18">
        <v>30000.0</v>
      </c>
      <c r="E46" s="23">
        <f t="array" ref="E46">IF($D46="","",$D46*INDEX('Допущения'!$C$25:$G$30,MATCH($C46,'Допущения'!$B$25:$B$30,0),1))</f>
        <v>30000</v>
      </c>
      <c r="F46" s="23">
        <f t="array" ref="F46">IF($D46="","",$D46*INDEX('Допущения'!$C$25:$G$30,MATCH($C46,'Допущения'!$B$25:$B$30,0),2))</f>
        <v>33600</v>
      </c>
      <c r="G46" s="23">
        <f t="array" ref="G46">IF($D46="","",$D46*INDEX('Допущения'!$C$25:$G$30,MATCH($C46,'Допущения'!$B$25:$B$30,0),3))</f>
        <v>37632</v>
      </c>
      <c r="H46" s="23">
        <f t="array" ref="H46">IF($D46="","",$D46*INDEX('Допущения'!$C$25:$G$30,MATCH($C46,'Допущения'!$B$25:$B$30,0),4))</f>
        <v>42147.84</v>
      </c>
      <c r="I46" s="23">
        <f t="array" ref="I46">IF($D46="","",$D46*INDEX('Допущения'!$C$25:$G$30,MATCH($C46,'Допущения'!$B$25:$B$30,0),5))</f>
        <v>47205.5808</v>
      </c>
      <c r="J46" s="23">
        <f t="shared" si="9"/>
        <v>190585.4208</v>
      </c>
      <c r="K46" s="24"/>
      <c r="L46" s="25" t="s">
        <v>152</v>
      </c>
    </row>
    <row r="47" ht="15.75" customHeight="1">
      <c r="B47" s="11"/>
      <c r="C47" s="17" t="s">
        <v>88</v>
      </c>
      <c r="D47" s="18"/>
      <c r="E47" s="23" t="str">
        <f t="array" ref="E47">IF($D47="","",$D47*INDEX('Допущения'!$C$25:$G$30,MATCH($C47,'Допущения'!$B$25:$B$30,0),1))</f>
        <v/>
      </c>
      <c r="F47" s="23" t="str">
        <f t="array" ref="F47">IF($D47="","",$D47*INDEX('Допущения'!$C$25:$G$30,MATCH($C47,'Допущения'!$B$25:$B$30,0),2))</f>
        <v/>
      </c>
      <c r="G47" s="23" t="str">
        <f t="array" ref="G47">IF($D47="","",$D47*INDEX('Допущения'!$C$25:$G$30,MATCH($C47,'Допущения'!$B$25:$B$30,0),3))</f>
        <v/>
      </c>
      <c r="H47" s="23" t="str">
        <f t="array" ref="H47">IF($D47="","",$D47*INDEX('Допущения'!$C$25:$G$30,MATCH($C47,'Допущения'!$B$25:$B$30,0),4))</f>
        <v/>
      </c>
      <c r="I47" s="23" t="str">
        <f t="array" ref="I47">IF($D47="","",$D47*INDEX('Допущения'!$C$25:$G$30,MATCH($C47,'Допущения'!$B$25:$B$30,0),5))</f>
        <v/>
      </c>
      <c r="J47" s="23">
        <f t="shared" si="9"/>
        <v>0</v>
      </c>
      <c r="K47" s="24"/>
      <c r="L47" s="25" t="s">
        <v>113</v>
      </c>
    </row>
    <row r="48" ht="15.75" customHeight="1">
      <c r="B48" s="26" t="s">
        <v>114</v>
      </c>
      <c r="C48" s="27"/>
      <c r="D48" s="27"/>
      <c r="E48" s="28">
        <f t="shared" ref="E48:J48" si="10">SUM(E43:E47)</f>
        <v>90000</v>
      </c>
      <c r="F48" s="28">
        <f t="shared" si="10"/>
        <v>94800</v>
      </c>
      <c r="G48" s="28">
        <f t="shared" si="10"/>
        <v>100128</v>
      </c>
      <c r="H48" s="28">
        <f t="shared" si="10"/>
        <v>106043.52</v>
      </c>
      <c r="I48" s="28">
        <f t="shared" si="10"/>
        <v>112612.9152</v>
      </c>
      <c r="J48" s="28">
        <f t="shared" si="10"/>
        <v>503584.4352</v>
      </c>
      <c r="K48" s="29">
        <f>IFERROR(J48/$J$51,0)</f>
        <v>0.008818635964</v>
      </c>
      <c r="L48" s="27"/>
    </row>
    <row r="49" ht="15.75" customHeight="1">
      <c r="C49" s="30"/>
    </row>
    <row r="50" ht="15.75" customHeight="1">
      <c r="B50" s="15" t="s">
        <v>153</v>
      </c>
      <c r="C50" s="30"/>
      <c r="E50" s="31">
        <f>(E15+E24+E32+E40+E48)*'Допущения'!$C$17</f>
        <v>183330</v>
      </c>
      <c r="F50" s="31">
        <f>(F15+F24+F32+F40+F48)*'Допущения'!$C$17</f>
        <v>458982</v>
      </c>
      <c r="G50" s="31">
        <f>(G15+G24+G32+G40+G48)*'Допущения'!$C$17</f>
        <v>1193147.28</v>
      </c>
      <c r="H50" s="31">
        <f>(H15+H24+H32+H40+H48)*'Допущения'!$C$17</f>
        <v>2250005.021</v>
      </c>
      <c r="I50" s="31">
        <f>(I15+I24+I32+I40+I48)*'Допущения'!$C$17</f>
        <v>3362958.176</v>
      </c>
      <c r="J50" s="23">
        <f t="shared" ref="J50:J51" si="12">SUM(E50:I50)</f>
        <v>7448422.477</v>
      </c>
      <c r="L50" s="6" t="s">
        <v>154</v>
      </c>
    </row>
    <row r="51" ht="15.75" customHeight="1">
      <c r="B51" s="26" t="s">
        <v>155</v>
      </c>
      <c r="C51" s="30"/>
      <c r="E51" s="28">
        <f t="shared" ref="E51:I51" si="11">E15+E24+E32+E40+E48+E50</f>
        <v>1405530</v>
      </c>
      <c r="F51" s="28">
        <f t="shared" si="11"/>
        <v>3518862</v>
      </c>
      <c r="G51" s="28">
        <f t="shared" si="11"/>
        <v>9147462.48</v>
      </c>
      <c r="H51" s="28">
        <f t="shared" si="11"/>
        <v>17250038.49</v>
      </c>
      <c r="I51" s="28">
        <f t="shared" si="11"/>
        <v>25782679.35</v>
      </c>
      <c r="J51" s="28">
        <f t="shared" si="12"/>
        <v>57104572.32</v>
      </c>
    </row>
    <row r="52" ht="15.75" customHeight="1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B53" s="11" t="s">
        <v>157</v>
      </c>
      <c r="E53" s="31">
        <f>(1-'Допущения'!$C$20)*525600*'Допущения'!$C$19*'Допущения'!$C$21</f>
        <v>630720</v>
      </c>
      <c r="F53" s="31">
        <f>(1-'Допущения'!$C$20)*525600*'Допущения'!$C$19*'Допущения'!$C$21</f>
        <v>630720</v>
      </c>
      <c r="G53" s="31">
        <f>(1-'Допущения'!$C$20)*525600*'Допущения'!$C$19*'Допущения'!$C$21</f>
        <v>630720</v>
      </c>
      <c r="H53" s="31">
        <f>(1-'Допущения'!$C$20)*525600*'Допущения'!$C$19*'Допущения'!$C$21</f>
        <v>630720</v>
      </c>
      <c r="I53" s="31">
        <f>(1-'Допущения'!$C$20)*525600*'Допущения'!$C$19*'Допущения'!$C$21</f>
        <v>630720</v>
      </c>
      <c r="J53" s="23">
        <f t="shared" ref="J53:J54" si="14">SUM(E53:I53)</f>
        <v>3153600</v>
      </c>
      <c r="L53" s="13" t="s">
        <v>158</v>
      </c>
    </row>
    <row r="54" ht="15.75" customHeight="1">
      <c r="B54" s="26" t="s">
        <v>159</v>
      </c>
      <c r="E54" s="28">
        <f t="shared" ref="E54:I54" si="13">E51+E53</f>
        <v>2036250</v>
      </c>
      <c r="F54" s="28">
        <f t="shared" si="13"/>
        <v>4149582</v>
      </c>
      <c r="G54" s="28">
        <f t="shared" si="13"/>
        <v>9778182.48</v>
      </c>
      <c r="H54" s="28">
        <f t="shared" si="13"/>
        <v>17880758.49</v>
      </c>
      <c r="I54" s="28">
        <f t="shared" si="13"/>
        <v>26413399.35</v>
      </c>
      <c r="J54" s="28">
        <f t="shared" si="14"/>
        <v>60258172.32</v>
      </c>
    </row>
    <row r="55" ht="15.75" customHeight="1">
      <c r="B55" s="11" t="s">
        <v>160</v>
      </c>
      <c r="E55" s="32">
        <f>1/(1+'Допущения'!$C$16)^0</f>
        <v>1</v>
      </c>
      <c r="F55" s="32">
        <f>1/(1+'Допущения'!$C$16)^1</f>
        <v>0.8333333333</v>
      </c>
      <c r="G55" s="32">
        <f>1/(1+'Допущения'!$C$16)^2</f>
        <v>0.6944444444</v>
      </c>
      <c r="H55" s="32">
        <f>1/(1+'Допущения'!$C$16)^3</f>
        <v>0.5787037037</v>
      </c>
      <c r="I55" s="32">
        <f>1/(1+'Допущения'!$C$16)^4</f>
        <v>0.4822530864</v>
      </c>
    </row>
    <row r="56" ht="15.75" customHeight="1">
      <c r="B56" s="26" t="s">
        <v>161</v>
      </c>
      <c r="E56" s="28">
        <f t="shared" ref="E56:I56" si="15">E54*E55</f>
        <v>2036250</v>
      </c>
      <c r="F56" s="28">
        <f t="shared" si="15"/>
        <v>3457985</v>
      </c>
      <c r="G56" s="28">
        <f t="shared" si="15"/>
        <v>6790404.5</v>
      </c>
      <c r="H56" s="28">
        <f t="shared" si="15"/>
        <v>10347661.16</v>
      </c>
      <c r="I56" s="28">
        <f t="shared" si="15"/>
        <v>12737943.36</v>
      </c>
      <c r="J56" s="28">
        <f>SUM(E56:I56)</f>
        <v>35370244.02</v>
      </c>
    </row>
    <row r="57" ht="15.75" customHeight="1"/>
    <row r="58" ht="15.75" customHeight="1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B59" s="15" t="s">
        <v>163</v>
      </c>
      <c r="E59" s="33">
        <f>J51</f>
        <v>57104572.32</v>
      </c>
      <c r="F59" s="34"/>
      <c r="L59" s="13" t="s">
        <v>164</v>
      </c>
    </row>
    <row r="60" ht="15.75" customHeight="1">
      <c r="B60" s="15" t="s">
        <v>165</v>
      </c>
      <c r="E60" s="33">
        <f>J54</f>
        <v>60258172.32</v>
      </c>
      <c r="F60" s="34"/>
      <c r="L60" s="13" t="s">
        <v>166</v>
      </c>
    </row>
    <row r="61" ht="15.75" customHeight="1">
      <c r="B61" s="15" t="s">
        <v>167</v>
      </c>
      <c r="E61" s="33">
        <f>J56</f>
        <v>35370244.02</v>
      </c>
      <c r="F61" s="34"/>
      <c r="L61" s="13" t="s">
        <v>168</v>
      </c>
    </row>
    <row r="62" ht="15.75" customHeight="1">
      <c r="B62" s="15" t="s">
        <v>169</v>
      </c>
      <c r="E62" s="33">
        <f>J51/5</f>
        <v>11420914.46</v>
      </c>
      <c r="F62" s="34"/>
      <c r="L62" s="13" t="s">
        <v>170</v>
      </c>
    </row>
    <row r="63" ht="15.75" customHeight="1">
      <c r="B63" s="15" t="s">
        <v>171</v>
      </c>
      <c r="E63" s="33">
        <f>E15/12</f>
        <v>8750</v>
      </c>
      <c r="F63" s="34"/>
      <c r="L63" s="13" t="s">
        <v>172</v>
      </c>
    </row>
    <row r="64" ht="15.75" customHeight="1">
      <c r="B64" s="15" t="s">
        <v>173</v>
      </c>
      <c r="E64" s="35" t="str">
        <f>IF(E15/12&lt;='Допущения'!$C$18,"В бюджете CFO","ПРЕВЫШЕНИЕ бюджета")</f>
        <v>В бюджете CFO</v>
      </c>
      <c r="F64" s="34"/>
      <c r="L64" s="13" t="s">
        <v>174</v>
      </c>
    </row>
    <row r="65" ht="15.75" customHeight="1">
      <c r="B65" s="15" t="s">
        <v>175</v>
      </c>
      <c r="E65" s="36">
        <f>IFERROR(J51/SUM('Допущения'!$C$8:$G$8),0)</f>
        <v>1.498807672</v>
      </c>
      <c r="F65" s="34"/>
      <c r="L65" s="13" t="s">
        <v>176</v>
      </c>
    </row>
    <row r="66" ht="15.75" customHeight="1">
      <c r="B66" s="15" t="s">
        <v>177</v>
      </c>
      <c r="E66" s="36">
        <f>IFERROR(I51/'Допущения'!$G$7,0)</f>
        <v>7.366479814</v>
      </c>
      <c r="F66" s="34"/>
      <c r="L66" s="13" t="s">
        <v>178</v>
      </c>
    </row>
    <row r="67" ht="15.75" customHeight="1">
      <c r="B67" s="15" t="s">
        <v>179</v>
      </c>
      <c r="E67" s="37">
        <f>IFERROR(J51/SUM('Допущения'!$C$10:$G$10),0)</f>
        <v>0.05315514504</v>
      </c>
      <c r="F67" s="34"/>
      <c r="L67" s="13" t="s">
        <v>180</v>
      </c>
    </row>
    <row r="68" ht="15.75" customHeight="1">
      <c r="B68" s="15" t="s">
        <v>181</v>
      </c>
      <c r="E68" s="38">
        <f>IFERROR(J15/J51,0)</f>
        <v>0.08564285868</v>
      </c>
      <c r="F68" s="34"/>
      <c r="L68" s="13" t="s">
        <v>182</v>
      </c>
    </row>
    <row r="69" ht="15.75" customHeight="1">
      <c r="B69" s="15" t="s">
        <v>183</v>
      </c>
      <c r="E69" s="38">
        <f>IFERROR(J32/J51,0)</f>
        <v>0.6778091215</v>
      </c>
      <c r="F69" s="34"/>
      <c r="L69" s="13" t="s">
        <v>184</v>
      </c>
    </row>
    <row r="70" ht="15.75" customHeight="1">
      <c r="B70" s="15" t="s">
        <v>185</v>
      </c>
      <c r="E70" s="38">
        <f>IFERROR(J40/J51,0)</f>
        <v>0.08076703836</v>
      </c>
      <c r="F70" s="34"/>
      <c r="L70" s="13" t="s">
        <v>186</v>
      </c>
    </row>
    <row r="71" ht="15.75" customHeight="1"/>
    <row r="72" ht="15.75" customHeight="1">
      <c r="B72" s="39" t="s">
        <v>187</v>
      </c>
    </row>
    <row r="73" ht="15.0" customHeight="1">
      <c r="B73" s="40" t="s">
        <v>188</v>
      </c>
      <c r="C73" s="41"/>
      <c r="D73" s="41"/>
      <c r="E73" s="41"/>
      <c r="F73" s="41"/>
      <c r="G73" s="41"/>
      <c r="H73" s="41"/>
      <c r="I73" s="41"/>
      <c r="J73" s="41"/>
      <c r="K73" s="41"/>
      <c r="L73" s="42"/>
    </row>
    <row r="74" ht="15.75" customHeight="1">
      <c r="B74" s="43"/>
      <c r="L74" s="44"/>
    </row>
    <row r="75" ht="15.75" customHeight="1">
      <c r="B75" s="45"/>
      <c r="C75" s="46"/>
      <c r="D75" s="46"/>
      <c r="E75" s="46"/>
      <c r="F75" s="46"/>
      <c r="G75" s="46"/>
      <c r="H75" s="46"/>
      <c r="I75" s="46"/>
      <c r="J75" s="46"/>
      <c r="K75" s="46"/>
      <c r="L75" s="4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66:F66"/>
    <mergeCell ref="E67:F67"/>
    <mergeCell ref="E68:F68"/>
    <mergeCell ref="E69:F69"/>
    <mergeCell ref="E70:F70"/>
    <mergeCell ref="B72:L72"/>
    <mergeCell ref="B73:L75"/>
    <mergeCell ref="E59:F59"/>
    <mergeCell ref="E60:F60"/>
    <mergeCell ref="E61:F61"/>
    <mergeCell ref="E62:F62"/>
    <mergeCell ref="E63:F63"/>
    <mergeCell ref="E64:F64"/>
    <mergeCell ref="E65:F65"/>
  </mergeCells>
  <dataValidations>
    <dataValidation type="list" allowBlank="1" sqref="C6:C51">
      <formula1>"фикс,инфляция,ФОТ,пользователи,заказы,GMV"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2026-08-24T07:50:39Z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