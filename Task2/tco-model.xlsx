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нструкция" sheetId="1" state="visible" r:id="rId1"/>
    <sheet name="Сравнение" sheetId="2" state="visible" r:id="rId2"/>
    <sheet name="Допущения" sheetId="3" state="visible" r:id="rId3"/>
    <sheet name="TCO A — монолит" sheetId="4" state="visible" r:id="rId4"/>
    <sheet name="TCO B — сервисы" sheetId="5" state="visible" r:id="rId5"/>
    <sheet name="TCO C — вариант 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5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11"/>
    </font>
    <font>
      <name val="Calibri"/>
      <color theme="1"/>
      <sz val="11"/>
    </font>
    <font>
      <name val="Arial"/>
      <i val="1"/>
      <color rgb="FF808080"/>
      <sz val="9"/>
    </font>
    <font>
      <name val="Arial"/>
      <b val="1"/>
      <color rgb="FFFFFFFF"/>
      <sz val="11"/>
    </font>
    <font>
      <name val="Arial"/>
      <b val="1"/>
      <color rgb="FFC00000"/>
      <sz val="10"/>
    </font>
    <font>
      <name val="Arial"/>
      <color rgb="FF0000FF"/>
      <sz val="10"/>
    </font>
    <font>
      <name val="Calibri"/>
      <color theme="1"/>
      <scheme val="minor"/>
    </font>
    <font>
      <name val="Arial"/>
      <color rgb="FF008000"/>
      <sz val="10"/>
    </font>
    <font/>
    <font>
      <b val="1"/>
      <sz val="14"/>
    </font>
    <font>
      <b val="1"/>
    </font>
  </fonts>
  <fills count="8">
    <fill>
      <patternFill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00DDEBF7"/>
      </patternFill>
    </fill>
  </fills>
  <borders count="1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5" fillId="2" borderId="2" applyAlignment="1" pivotButton="0" quotePrefix="0" xfId="0">
      <alignment vertical="bottom"/>
    </xf>
    <xf numFmtId="0" fontId="7" fillId="3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bottom"/>
    </xf>
    <xf numFmtId="3" fontId="9" fillId="4" borderId="2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164" fontId="9" fillId="4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165" fontId="2" fillId="0" borderId="2" applyAlignment="1" pivotButton="0" quotePrefix="0" xfId="0">
      <alignment vertical="bottom"/>
    </xf>
    <xf numFmtId="0" fontId="9" fillId="4" borderId="2" applyAlignment="1" pivotButton="0" quotePrefix="0" xfId="0">
      <alignment vertical="bottom"/>
    </xf>
    <xf numFmtId="165" fontId="9" fillId="4" borderId="2" applyAlignment="1" pivotButton="0" quotePrefix="0" xfId="0">
      <alignment vertical="bottom"/>
    </xf>
    <xf numFmtId="166" fontId="9" fillId="4" borderId="2" applyAlignment="1" pivotButton="0" quotePrefix="0" xfId="0">
      <alignment vertical="bottom"/>
    </xf>
    <xf numFmtId="167" fontId="9" fillId="4" borderId="2" applyAlignment="1" pivotButton="0" quotePrefix="0" xfId="0">
      <alignment vertical="bottom"/>
    </xf>
    <xf numFmtId="1" fontId="9" fillId="4" borderId="2" applyAlignment="1" pivotButton="0" quotePrefix="0" xfId="0">
      <alignment vertical="bottom"/>
    </xf>
    <xf numFmtId="2" fontId="3" fillId="0" borderId="2" applyAlignment="1" pivotButton="0" quotePrefix="0" xfId="0">
      <alignment vertical="bottom"/>
    </xf>
    <xf numFmtId="165" fontId="3" fillId="0" borderId="2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6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bottom"/>
    </xf>
    <xf numFmtId="0" fontId="5" fillId="5" borderId="2" applyAlignment="1" pivotButton="0" quotePrefix="0" xfId="0">
      <alignment vertical="bottom"/>
    </xf>
    <xf numFmtId="165" fontId="2" fillId="5" borderId="2" applyAlignment="1" pivotButton="0" quotePrefix="0" xfId="0">
      <alignment vertical="bottom"/>
    </xf>
    <xf numFmtId="166" fontId="2" fillId="5" borderId="2" applyAlignment="1" pivotButton="0" quotePrefix="0" xfId="0">
      <alignment vertical="bottom"/>
    </xf>
    <xf numFmtId="0" fontId="10" fillId="0" borderId="0" pivotButton="0" quotePrefix="0" xfId="0"/>
    <xf numFmtId="165" fontId="11" fillId="0" borderId="2" applyAlignment="1" pivotButton="0" quotePrefix="0" xfId="0">
      <alignment vertical="bottom"/>
    </xf>
    <xf numFmtId="168" fontId="11" fillId="0" borderId="2" applyAlignment="1" pivotButton="0" quotePrefix="0" xfId="0">
      <alignment vertical="bottom"/>
    </xf>
    <xf numFmtId="165" fontId="2" fillId="6" borderId="3" applyAlignment="1" pivotButton="0" quotePrefix="0" xfId="0">
      <alignment vertical="bottom"/>
    </xf>
    <xf numFmtId="0" fontId="12" fillId="0" borderId="4" pivotButton="0" quotePrefix="0" xfId="0"/>
    <xf numFmtId="0" fontId="2" fillId="6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10" fontId="2" fillId="6" borderId="3" applyAlignment="1" pivotButton="0" quotePrefix="0" xfId="0">
      <alignment vertical="bottom"/>
    </xf>
    <xf numFmtId="166" fontId="2" fillId="6" borderId="3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9" fillId="4" borderId="5" applyAlignment="1" pivotButton="0" quotePrefix="0" xfId="0">
      <alignment vertical="top" wrapText="1"/>
    </xf>
    <xf numFmtId="0" fontId="12" fillId="0" borderId="6" pivotButton="0" quotePrefix="0" xfId="0"/>
    <xf numFmtId="0" fontId="12" fillId="0" borderId="7" pivotButton="0" quotePrefix="0" xfId="0"/>
    <xf numFmtId="0" fontId="12" fillId="0" borderId="8" pivotButton="0" quotePrefix="0" xfId="0"/>
    <xf numFmtId="0" fontId="12" fillId="0" borderId="9" pivotButton="0" quotePrefix="0" xfId="0"/>
    <xf numFmtId="0" fontId="12" fillId="0" borderId="10" pivotButton="0" quotePrefix="0" xfId="0"/>
    <xf numFmtId="0" fontId="12" fillId="0" borderId="11" pivotButton="0" quotePrefix="0" xfId="0"/>
    <xf numFmtId="0" fontId="12" fillId="0" borderId="12" pivotButton="0" quotePrefix="0" xfId="0"/>
    <xf numFmtId="0" fontId="0" fillId="0" borderId="0" pivotButton="0" quotePrefix="0" xfId="0"/>
    <xf numFmtId="0" fontId="13" fillId="0" borderId="0" pivotButton="0" quotePrefix="0" xfId="0"/>
    <xf numFmtId="0" fontId="14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3" fontId="14" fillId="0" borderId="0" applyAlignment="1" pivotButton="0" quotePrefix="0" xfId="0">
      <alignment vertical="top" wrapText="1"/>
    </xf>
    <xf numFmtId="165" fontId="2" fillId="6" borderId="2" applyAlignment="1" pivotButton="0" quotePrefix="0" xfId="0">
      <alignment vertical="bottom"/>
    </xf>
    <xf numFmtId="0" fontId="0" fillId="0" borderId="4" pivotButton="0" quotePrefix="0" xfId="0"/>
    <xf numFmtId="0" fontId="2" fillId="6" borderId="2" applyAlignment="1" pivotButton="0" quotePrefix="0" xfId="0">
      <alignment vertical="bottom"/>
    </xf>
    <xf numFmtId="164" fontId="2" fillId="6" borderId="2" applyAlignment="1" pivotButton="0" quotePrefix="0" xfId="0">
      <alignment vertical="bottom"/>
    </xf>
    <xf numFmtId="10" fontId="2" fillId="6" borderId="2" applyAlignment="1" pivotButton="0" quotePrefix="0" xfId="0">
      <alignment vertical="bottom"/>
    </xf>
    <xf numFmtId="166" fontId="2" fillId="6" borderId="2" applyAlignment="1" pivotButton="0" quotePrefix="0" xfId="0">
      <alignment vertical="bottom"/>
    </xf>
    <xf numFmtId="0" fontId="9" fillId="4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6" customWidth="1" style="48" min="2" max="2"/>
    <col width="78" customWidth="1" style="48" min="3" max="3"/>
    <col width="8.710000000000001" customWidth="1" style="48" min="4" max="26"/>
  </cols>
  <sheetData>
    <row r="2">
      <c r="B2" s="1" t="inlineStr">
        <is>
          <t>Модель TCO (Total Cost of Ownership) — кейс «Africa Delivery», горизонт 5 лет</t>
        </is>
      </c>
    </row>
    <row r="3">
      <c r="B3" s="2" t="n"/>
      <c r="C3" s="3" t="n"/>
    </row>
    <row r="4">
      <c r="B4" s="4" t="inlineStr">
        <is>
          <t>Зачем этот файл</t>
        </is>
      </c>
      <c r="C4" s="5" t="n"/>
    </row>
    <row r="5" ht="30" customHeight="1" s="48">
      <c r="B5" s="2" t="inlineStr">
        <is>
          <t>Задача</t>
        </is>
      </c>
      <c r="C5" s="3" t="inlineStr">
        <is>
      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      </is>
      </c>
    </row>
    <row r="6" ht="30" customHeight="1" s="48">
      <c r="B6" s="2" t="inlineStr">
        <is>
          <t>Как использовать</t>
        </is>
      </c>
      <c r="C6" s="3" t="inlineStr">
        <is>
      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      </is>
      </c>
    </row>
    <row r="7">
      <c r="B7" s="2" t="n"/>
      <c r="C7" s="3" t="n"/>
    </row>
    <row r="8">
      <c r="B8" s="4" t="inlineStr">
        <is>
          <t>Цветовая легенда</t>
        </is>
      </c>
      <c r="C8" s="5" t="n"/>
    </row>
    <row r="9">
      <c r="B9" s="2" t="inlineStr">
        <is>
          <t>Синий текст на жёлтом фоне</t>
        </is>
      </c>
      <c r="C9" s="3" t="inlineStr">
        <is>
          <t>Ячейки для заполнения. Только их и редактируем.</t>
        </is>
      </c>
    </row>
    <row r="10">
      <c r="B10" s="2" t="inlineStr">
        <is>
          <t>Чёрный текст</t>
        </is>
      </c>
      <c r="C10" s="3" t="inlineStr">
        <is>
          <t>Формулы. Не трогаем — пересчитаются сами.</t>
        </is>
      </c>
    </row>
    <row r="11">
      <c r="B11" s="2" t="inlineStr">
        <is>
          <t>Зелёный текст</t>
        </is>
      </c>
      <c r="C11" s="3" t="inlineStr">
        <is>
          <t>Ссылка на лист «Допущения».</t>
        </is>
      </c>
    </row>
    <row r="12">
      <c r="B12" s="2" t="n"/>
      <c r="C12" s="3" t="n"/>
    </row>
    <row r="13">
      <c r="B13" s="4" t="inlineStr">
        <is>
          <t>Порядок работы</t>
        </is>
      </c>
      <c r="C13" s="5" t="n"/>
    </row>
    <row r="14" ht="30" customHeight="1" s="48">
      <c r="B14" s="2" t="inlineStr">
        <is>
          <t>Шаг 1</t>
        </is>
      </c>
      <c r="C14" s="3" t="inlineStr">
        <is>
          <t>Лист «Допущения» → блок 1: вбить драйверы бизнеса по годам (активные пользователи, число заказов, средний чек). Из них считается GMV.</t>
        </is>
      </c>
    </row>
    <row r="15" ht="30" customHeight="1" s="48">
      <c r="B15" s="2" t="inlineStr">
        <is>
          <t>Шаг 2</t>
        </is>
      </c>
      <c r="C15" s="3" t="inlineStr">
        <is>
          <t>Лист «Допущения» → блок 2: финансовые допущения (инфляция, рост ФОТ, ставка дисконтирования, резерв, целевой SLO).</t>
        </is>
      </c>
    </row>
    <row r="16" ht="30" customHeight="1" s="48">
      <c r="B16" s="2" t="inlineStr">
        <is>
          <t>Шаг 3</t>
        </is>
      </c>
      <c r="C16" s="3" t="inlineStr">
        <is>
      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      </is>
      </c>
    </row>
    <row r="17" ht="30" customHeight="1" s="48">
      <c r="B17" s="2" t="inlineStr">
        <is>
          <t>Шаг 4</t>
        </is>
      </c>
      <c r="C17" s="3" t="inlineStr">
        <is>
      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      </is>
      </c>
    </row>
    <row r="18" ht="30" customHeight="1" s="48">
      <c r="B18" s="2" t="inlineStr">
        <is>
          <t>Шаг 5</t>
        </is>
      </c>
      <c r="C18" s="3" t="inlineStr">
        <is>
          <t>Посмотреть блок «Ключевые метрики» внизу листа «TCO»: итог за 5 лет, NPV, стоимость на заказ, проверку бюджета CFO ($9k/мес на облако).</t>
        </is>
      </c>
    </row>
    <row r="19">
      <c r="B19" s="2" t="n"/>
      <c r="C19" s="3" t="n"/>
    </row>
    <row r="20">
      <c r="B20" s="4" t="inlineStr">
        <is>
          <t>Что важно не забыть в этом кейсе</t>
        </is>
      </c>
      <c r="C20" s="5" t="n"/>
    </row>
    <row r="21" ht="30" customHeight="1" s="48">
      <c r="B21" s="2" t="inlineStr">
        <is>
          <t>Бюджет CFO</t>
        </is>
      </c>
      <c r="C21" s="3" t="inlineStr">
        <is>
      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      </is>
      </c>
    </row>
    <row r="22" ht="30" customHeight="1" s="48">
      <c r="B22" s="2" t="inlineStr">
        <is>
          <t>Цена простоя</t>
        </is>
      </c>
      <c r="C22" s="3" t="inlineStr">
        <is>
      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      </is>
      </c>
    </row>
    <row r="23" ht="30" customHeight="1" s="48">
      <c r="B23" s="2" t="inlineStr">
        <is>
          <t>Транзакционные расходы</t>
        </is>
      </c>
      <c r="C23" s="3" t="inlineStr">
        <is>
      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      </is>
      </c>
    </row>
    <row r="24" ht="30" customHeight="1" s="48">
      <c r="B24" s="2" t="inlineStr">
        <is>
          <t>Сравнение вариантов</t>
        </is>
      </c>
      <c r="C24" s="3" t="inlineStr">
        <is>
          <t>Транзакционные расходы (блок 3) почти одинаковы для любой архитектуры — это pass-through от оборота. Варианты архитектуры сравнивай по блокам 1, 2, 4 и 6.</t>
        </is>
      </c>
    </row>
    <row r="25" ht="30" customHeight="1" s="48">
      <c r="B25" s="2" t="inlineStr">
        <is>
          <t>Разовые затраты</t>
        </is>
      </c>
      <c r="C25" s="3" t="inlineStr">
        <is>
      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      </is>
      </c>
    </row>
    <row r="26" ht="30" customHeight="1" s="48">
      <c r="B26" s="2" t="inlineStr">
        <is>
          <t>Люди</t>
        </is>
      </c>
      <c r="C26" s="3" t="inlineStr">
        <is>
      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      </is>
      </c>
    </row>
    <row r="27" ht="15.75" customHeight="1" s="48">
      <c r="B27" s="2" t="n"/>
      <c r="C27" s="3" t="n"/>
    </row>
    <row r="28" ht="30" customHeight="1" s="48">
      <c r="B28" s="10" t="inlineStr">
        <is>
          <t>Все числа в файле — примеры для демонстрации формата. Замени их своими оценками и укажи источник в колонке «Комментарий / источник».</t>
        </is>
      </c>
    </row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B28:C28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1"/>
  <sheetViews>
    <sheetView workbookViewId="0">
      <selection activeCell="A1" sqref="A1"/>
    </sheetView>
  </sheetViews>
  <sheetFormatPr baseColWidth="8" defaultRowHeight="15"/>
  <cols>
    <col width="52" customWidth="1" style="48" min="2" max="2"/>
    <col width="20" customWidth="1" style="48" min="3" max="3"/>
    <col width="20" customWidth="1" style="48" min="4" max="4"/>
    <col width="20" customWidth="1" style="48" min="5" max="5"/>
    <col width="60" customWidth="1" style="48" min="6" max="6"/>
  </cols>
  <sheetData>
    <row r="2">
      <c r="B2" s="49" t="inlineStr">
        <is>
          <t>Сравнение вариантов архитектуры — сводка для ADR №1</t>
        </is>
      </c>
    </row>
    <row r="4">
      <c r="B4" s="50" t="inlineStr">
        <is>
          <t>Показатель</t>
        </is>
      </c>
      <c r="C4" s="50" t="inlineStr">
        <is>
          <t>A — монолит</t>
        </is>
      </c>
      <c r="D4" s="50" t="inlineStr">
        <is>
          <t>B — сервисы</t>
        </is>
      </c>
      <c r="E4" s="50" t="inlineStr">
        <is>
          <t>C — вариант CTO</t>
        </is>
      </c>
      <c r="F4" s="50" t="inlineStr">
        <is>
          <t>Источник / комментарий</t>
        </is>
      </c>
    </row>
    <row r="5">
      <c r="B5" s="51" t="inlineStr">
        <is>
          <t>Деплой-единиц</t>
        </is>
      </c>
      <c r="C5" s="52" t="n">
        <v>2</v>
      </c>
      <c r="D5" s="51" t="inlineStr">
        <is>
          <t>9–10</t>
        </is>
      </c>
      <c r="E5" s="51" t="inlineStr">
        <is>
          <t>40–50</t>
        </is>
      </c>
      <c r="F5" s="51" t="inlineStr">
        <is>
          <t>арт. 5 для C</t>
        </is>
      </c>
    </row>
    <row r="6">
      <c r="B6" s="51" t="inlineStr">
        <is>
          <t>Облако и SaaS, $/мес в Год 1</t>
        </is>
      </c>
      <c r="C6" s="53" t="n">
        <v>2550</v>
      </c>
      <c r="D6" s="53" t="n">
        <v>4150</v>
      </c>
      <c r="E6" s="53" t="n">
        <v>7720</v>
      </c>
      <c r="F6" s="51" t="inlineStr">
        <is>
          <t>лимит CFO $5 000/мес (арт. 6); для C — без разовой лицензии</t>
        </is>
      </c>
    </row>
    <row r="7">
      <c r="B7" s="51" t="inlineStr">
        <is>
          <t>% лимита CFO</t>
        </is>
      </c>
      <c r="C7" s="54" t="n">
        <v>0.51</v>
      </c>
      <c r="D7" s="54" t="n">
        <v>0.83</v>
      </c>
      <c r="E7" s="54" t="n">
        <v>1.544</v>
      </c>
      <c r="F7" s="51" t="inlineStr"/>
    </row>
    <row r="8">
      <c r="B8" s="51" t="inlineStr">
        <is>
          <t>Разовые лицензии, Год 1</t>
        </is>
      </c>
      <c r="C8" s="52" t="n">
        <v>0</v>
      </c>
      <c r="D8" s="52" t="n">
        <v>0</v>
      </c>
      <c r="E8" s="53" t="n">
        <v>95000</v>
      </c>
      <c r="F8" s="51" t="inlineStr">
        <is>
          <t>Oracle EE, 2 процессора — прайс-лист</t>
        </is>
      </c>
    </row>
    <row r="9">
      <c r="B9" s="51" t="inlineStr">
        <is>
          <t>Команда, FTE Год 1</t>
        </is>
      </c>
      <c r="C9" s="52" t="n">
        <v>6</v>
      </c>
      <c r="D9" s="52" t="n">
        <v>9</v>
      </c>
      <c r="E9" s="51" t="inlineStr">
        <is>
          <t>19–20</t>
        </is>
      </c>
      <c r="F9" s="51" t="inlineStr">
        <is>
          <t>CFO: 6 контракторов, наём заморожен</t>
        </is>
      </c>
    </row>
    <row r="10">
      <c r="B10" s="51" t="inlineStr">
        <is>
          <t>ФОТ, Год 1</t>
        </is>
      </c>
      <c r="C10" s="53" t="n">
        <v>495000</v>
      </c>
      <c r="D10" s="53" t="n">
        <v>660000</v>
      </c>
      <c r="E10" s="53" t="n">
        <v>1260000</v>
      </c>
      <c r="F10" s="51" t="inlineStr">
        <is>
          <t>$60k разработчик, $70k SRE</t>
        </is>
      </c>
    </row>
    <row r="11">
      <c r="B11" s="51" t="inlineStr">
        <is>
          <t>Целевой SLO</t>
        </is>
      </c>
      <c r="C11" s="51" t="inlineStr">
        <is>
          <t>99,9%</t>
        </is>
      </c>
      <c r="D11" s="51" t="inlineStr">
        <is>
          <t>99,95%</t>
        </is>
      </c>
      <c r="E11" s="51" t="inlineStr">
        <is>
          <t>99,99%</t>
        </is>
      </c>
      <c r="F11" s="51" t="inlineStr"/>
    </row>
    <row r="12">
      <c r="B12" s="51" t="inlineStr">
        <is>
          <t>Простой, мин/год</t>
        </is>
      </c>
      <c r="C12" s="53" t="n">
        <v>525.6000000000005</v>
      </c>
      <c r="D12" s="53" t="n">
        <v>262.7999999999711</v>
      </c>
      <c r="E12" s="52" t="n">
        <v>52.55999999999421</v>
      </c>
      <c r="F12" s="51" t="inlineStr"/>
    </row>
    <row r="13">
      <c r="B13" s="51" t="inlineStr">
        <is>
          <t>Потери от простоя, 5 лет</t>
        </is>
      </c>
      <c r="C13" s="53" t="n">
        <v>1611450.000000001</v>
      </c>
      <c r="D13" s="53" t="n">
        <v>805724.9999999113</v>
      </c>
      <c r="E13" s="53" t="n">
        <v>161144.9999999822</v>
      </c>
      <c r="F13" s="51" t="inlineStr">
        <is>
          <t>от выручки года, не по ставке $12k/мин</t>
        </is>
      </c>
    </row>
    <row r="14">
      <c r="B14" s="51" t="inlineStr">
        <is>
          <t>TCO 5 лет, всего</t>
        </is>
      </c>
      <c r="C14" s="53" t="n">
        <v>47667383.13813759</v>
      </c>
      <c r="D14" s="53" t="n">
        <v>49092956.83402231</v>
      </c>
      <c r="E14" s="53" t="n">
        <v>54857487.08771838</v>
      </c>
      <c r="F14" s="51" t="inlineStr">
        <is>
          <t>включая транзакционные издержки</t>
        </is>
      </c>
    </row>
    <row r="15">
      <c r="B15" s="51" t="inlineStr">
        <is>
          <t>Транзакционные издержки, 5 лет</t>
        </is>
      </c>
      <c r="C15" s="53" t="n">
        <v>40963575</v>
      </c>
      <c r="D15" s="53" t="n">
        <v>40963575</v>
      </c>
      <c r="E15" s="53" t="n">
        <v>40963575</v>
      </c>
      <c r="F15" s="51" t="inlineStr">
        <is>
          <t>одинаковы для всех вариантов — из сравнения исключаются</t>
        </is>
      </c>
    </row>
    <row r="16">
      <c r="B16" s="51" t="inlineStr">
        <is>
          <t>TCO 5 лет, архитектурно-зависимая часть</t>
        </is>
      </c>
      <c r="C16" s="53" t="n">
        <v>6703808.138137594</v>
      </c>
      <c r="D16" s="53" t="n">
        <v>8129381.834022313</v>
      </c>
      <c r="E16" s="53" t="n">
        <v>13893912.08771838</v>
      </c>
      <c r="F16" s="51" t="inlineStr">
        <is>
          <t>по ней и сравниваем варианты</t>
        </is>
      </c>
    </row>
    <row r="17">
      <c r="B17" s="51" t="inlineStr">
        <is>
          <t>Стоимость заказа, 5 лет</t>
        </is>
      </c>
      <c r="C17" s="52" t="n">
        <v>1.251112418323821</v>
      </c>
      <c r="D17" s="52" t="n">
        <v>1.28852905076174</v>
      </c>
      <c r="E17" s="52" t="n">
        <v>1.43982905742043</v>
      </c>
      <c r="F17" s="51" t="inlineStr">
        <is>
          <t>всего 38.1 млн заказов</t>
        </is>
      </c>
    </row>
    <row r="18">
      <c r="B18" s="51" t="inlineStr">
        <is>
          <t>NPV затрат (ставка 20%)</t>
        </is>
      </c>
      <c r="C18" s="54" t="n">
        <v>27448857.40877778</v>
      </c>
      <c r="D18" s="54" t="n">
        <v>28418476.88566662</v>
      </c>
      <c r="E18" s="54" t="n">
        <v>32355635.96896913</v>
      </c>
      <c r="F18" s="51" t="inlineStr"/>
    </row>
    <row r="19">
      <c r="B19" s="51" t="inlineStr">
        <is>
          <t>Готовность к 15.10.2026</t>
        </is>
      </c>
      <c r="C19" s="51" t="inlineStr">
        <is>
          <t>с буфером ~2 недели</t>
        </is>
      </c>
      <c r="D19" s="51" t="inlineStr">
        <is>
          <t>сдвиг 3–5 недель</t>
        </is>
      </c>
      <c r="E19" s="51" t="inlineStr">
        <is>
          <t>II квартал 2027</t>
        </is>
      </c>
      <c r="F19" s="51" t="inlineStr">
        <is>
          <t>своя логистика — 6 мес (оценка CTO)</t>
        </is>
      </c>
    </row>
    <row r="20">
      <c r="B20" s="51" t="n"/>
      <c r="C20" s="51" t="n"/>
      <c r="D20" s="51" t="n"/>
      <c r="E20" s="51" t="n"/>
      <c r="F20" s="51" t="n"/>
    </row>
    <row r="21">
      <c r="B21" s="51" t="n"/>
      <c r="C21" s="51" t="n"/>
      <c r="D21" s="51" t="n"/>
      <c r="E21" s="51" t="n"/>
      <c r="F21" s="51" t="n"/>
    </row>
    <row r="22">
      <c r="B22" s="55" t="inlineStr">
        <is>
          <t>Стоимость ошибки (построили под 10 млн пользователей, пришло 50 тысяч)</t>
        </is>
      </c>
      <c r="C22" s="51" t="n"/>
      <c r="D22" s="51" t="n"/>
      <c r="E22" s="51" t="n"/>
      <c r="F22" s="51" t="n"/>
    </row>
    <row r="23">
      <c r="B23" s="51" t="inlineStr">
        <is>
          <t>Статья</t>
        </is>
      </c>
      <c r="C23" s="51" t="inlineStr">
        <is>
          <t>Потери Года 1 при выборе C вместо A</t>
        </is>
      </c>
      <c r="D23" s="51" t="n"/>
      <c r="E23" s="51" t="n"/>
      <c r="F23" s="51" t="n"/>
    </row>
    <row r="24">
      <c r="B24" s="51" t="inlineStr">
        <is>
          <t>Облако</t>
        </is>
      </c>
      <c r="C24" s="53" t="n">
        <v>63240</v>
      </c>
      <c r="D24" s="51" t="n"/>
      <c r="E24" s="51" t="n"/>
      <c r="F24" s="51" t="n"/>
    </row>
    <row r="25">
      <c r="B25" s="51" t="inlineStr">
        <is>
          <t>Лицензии и SaaS (в т. ч. Oracle)</t>
        </is>
      </c>
      <c r="C25" s="53" t="n">
        <v>93800</v>
      </c>
      <c r="D25" s="51" t="n"/>
      <c r="E25" s="51" t="n"/>
      <c r="F25" s="51" t="n"/>
    </row>
    <row r="26">
      <c r="B26" s="51" t="inlineStr">
        <is>
          <t>ФОТ (20 FTE вместо 6)</t>
        </is>
      </c>
      <c r="C26" s="53" t="n">
        <v>765000</v>
      </c>
      <c r="D26" s="51" t="n"/>
      <c r="E26" s="51" t="n"/>
      <c r="F26" s="51" t="n"/>
    </row>
    <row r="27">
      <c r="B27" s="51" t="inlineStr">
        <is>
          <t>Найм и миграция</t>
        </is>
      </c>
      <c r="C27" s="53" t="n">
        <v>80000</v>
      </c>
      <c r="D27" s="51" t="n"/>
      <c r="E27" s="51" t="n"/>
      <c r="F27" s="51" t="n"/>
    </row>
    <row r="28">
      <c r="B28" s="55" t="inlineStr">
        <is>
          <t>Итого</t>
        </is>
      </c>
      <c r="C28" s="56" t="n">
        <v>1002040</v>
      </c>
      <c r="D28" s="51" t="n"/>
      <c r="E28" s="51" t="n"/>
      <c r="F28" s="51" t="n"/>
    </row>
    <row r="29">
      <c r="B29" s="51" t="inlineStr">
        <is>
          <t>Обратная ошибка: построили A, пришло 10 млн — выделение сервисов</t>
        </is>
      </c>
      <c r="C29" s="53" t="n">
        <v>120000</v>
      </c>
      <c r="D29" s="51" t="n"/>
      <c r="E29" s="51" t="n"/>
      <c r="F29" s="51" t="n"/>
    </row>
    <row r="30">
      <c r="B30" s="51" t="n"/>
      <c r="C30" s="51" t="n"/>
      <c r="D30" s="51" t="n"/>
      <c r="E30" s="51" t="n"/>
      <c r="F30" s="51" t="n"/>
    </row>
    <row r="31">
      <c r="B31" s="51" t="inlineStr">
        <is>
          <t>Асимметрия 8,4 : 1 — ошибиться в сторону простого решения в восемь раз дешевле, чем в сторону сложного.</t>
        </is>
      </c>
      <c r="C31" s="51" t="n"/>
      <c r="D31" s="51" t="n"/>
      <c r="E31" s="51" t="n"/>
      <c r="F31" s="5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4.43" defaultRowHeight="15" customHeight="1"/>
  <cols>
    <col width="3" customWidth="1" style="48" min="1" max="1"/>
    <col width="42" customWidth="1" style="48" min="2" max="2"/>
    <col width="15" customWidth="1" style="48" min="3" max="7"/>
    <col width="52" customWidth="1" style="48" min="8" max="8"/>
    <col width="8.710000000000001" customWidth="1" style="48" min="9" max="26"/>
  </cols>
  <sheetData>
    <row r="2">
      <c r="B2" s="1" t="inlineStr">
        <is>
          <t>Допущения модели TCO — Africa Delivery</t>
        </is>
      </c>
    </row>
    <row r="3">
      <c r="B3" s="6" t="inlineStr">
        <is>
          <t>Заполняются только ячейки с жёлтой заливкой. Все числа ниже — пример, заменить своими.</t>
        </is>
      </c>
    </row>
    <row r="5">
      <c r="B5" s="7" t="inlineStr">
        <is>
          <t>1. Драйверы бизнеса — заполнить</t>
        </is>
      </c>
      <c r="C5" s="8" t="n"/>
      <c r="D5" s="8" t="n"/>
      <c r="E5" s="8" t="n"/>
      <c r="F5" s="8" t="n"/>
      <c r="G5" s="8" t="n"/>
      <c r="H5" s="8" t="n"/>
    </row>
    <row r="6">
      <c r="B6" s="9" t="inlineStr">
        <is>
          <t>Показатель</t>
        </is>
      </c>
      <c r="C6" s="9" t="inlineStr">
        <is>
          <t>Год 1</t>
        </is>
      </c>
      <c r="D6" s="9" t="inlineStr">
        <is>
          <t>Год 2</t>
        </is>
      </c>
      <c r="E6" s="9" t="inlineStr">
        <is>
          <t>Год 3</t>
        </is>
      </c>
      <c r="F6" s="9" t="inlineStr">
        <is>
          <t>Год 4</t>
        </is>
      </c>
      <c r="G6" s="9" t="inlineStr">
        <is>
          <t>Год 5</t>
        </is>
      </c>
      <c r="H6" s="9" t="inlineStr">
        <is>
          <t>Комментарий / источник</t>
        </is>
      </c>
    </row>
    <row r="7">
      <c r="B7" s="11" t="inlineStr">
        <is>
          <t>Активные пользователи (на конец года)</t>
        </is>
      </c>
      <c r="C7" s="12" t="n">
        <v>150000</v>
      </c>
      <c r="D7" s="12" t="n">
        <v>600000</v>
      </c>
      <c r="E7" s="12" t="n">
        <v>1500000</v>
      </c>
      <c r="F7" s="12" t="n">
        <v>2500000</v>
      </c>
      <c r="G7" s="12" t="n">
        <v>3500000</v>
      </c>
      <c r="H7" s="13" t="inlineStr">
        <is>
          <t>Пилот: 100 продавцов, 5000 SKU; цель 1M+ к 12 мес (описание кейса)</t>
        </is>
      </c>
    </row>
    <row r="8">
      <c r="B8" s="11" t="inlineStr">
        <is>
          <t>Число заказов в год</t>
        </is>
      </c>
      <c r="C8" s="12" t="n">
        <v>300000</v>
      </c>
      <c r="D8" s="12" t="n">
        <v>1800000</v>
      </c>
      <c r="E8" s="12" t="n">
        <v>6000000</v>
      </c>
      <c r="F8" s="12" t="n">
        <v>12000000</v>
      </c>
      <c r="G8" s="12" t="n">
        <v>18000000</v>
      </c>
      <c r="H8" s="13" t="inlineStr">
        <is>
          <t>Оценка архитектора от объёма пилота</t>
        </is>
      </c>
    </row>
    <row r="9">
      <c r="B9" s="11" t="inlineStr">
        <is>
          <t>Средний чек (AOV), $</t>
        </is>
      </c>
      <c r="C9" s="14" t="n">
        <v>25</v>
      </c>
      <c r="D9" s="14" t="n">
        <v>26</v>
      </c>
      <c r="E9" s="14" t="n">
        <v>27</v>
      </c>
      <c r="F9" s="14" t="n">
        <v>28</v>
      </c>
      <c r="G9" s="14" t="n">
        <v>29</v>
      </c>
      <c r="H9" s="13" t="inlineStr">
        <is>
          <t>Оценка студента по рынку (Jumia / Takealot)</t>
        </is>
      </c>
    </row>
    <row r="10">
      <c r="B10" s="15" t="inlineStr">
        <is>
          <t>GMV, $ в год (расчёт)</t>
        </is>
      </c>
      <c r="C10" s="16">
        <f>C8*C9</f>
        <v/>
      </c>
      <c r="D10" s="16" t="n">
        <v>46800000</v>
      </c>
      <c r="E10" s="16" t="n">
        <v>162000000</v>
      </c>
      <c r="F10" s="16" t="n">
        <v>336000000</v>
      </c>
      <c r="G10" s="16" t="n">
        <v>522000000</v>
      </c>
      <c r="H10" s="13" t="inlineStr">
        <is>
          <t>Расчёт: заказы × средний чек</t>
        </is>
      </c>
    </row>
    <row r="12">
      <c r="B12" s="7" t="inlineStr">
        <is>
          <t>2. Финансовые допущения — заполнить</t>
        </is>
      </c>
      <c r="C12" s="8" t="n"/>
      <c r="D12" s="8" t="n"/>
      <c r="E12" s="8" t="n"/>
      <c r="F12" s="8" t="n"/>
      <c r="G12" s="8" t="n"/>
      <c r="H12" s="8" t="n"/>
    </row>
    <row r="13">
      <c r="B13" s="9" t="inlineStr">
        <is>
          <t>Параметр</t>
        </is>
      </c>
      <c r="C13" s="9" t="inlineStr">
        <is>
          <t>Значение</t>
        </is>
      </c>
      <c r="D13" s="9" t="n"/>
      <c r="E13" s="9" t="n"/>
      <c r="F13" s="9" t="n"/>
      <c r="G13" s="9" t="n"/>
      <c r="H13" s="9" t="inlineStr">
        <is>
          <t>Комментарий / источник</t>
        </is>
      </c>
    </row>
    <row r="14">
      <c r="B14" s="11" t="inlineStr">
        <is>
          <t>Инфляция затрат, % в год</t>
        </is>
      </c>
      <c r="C14" s="19" t="n">
        <v>0.08</v>
      </c>
      <c r="H14" s="13" t="inlineStr">
        <is>
          <t>Применяется к статьям с драйвером «инфляция»</t>
        </is>
      </c>
    </row>
    <row r="15">
      <c r="B15" s="11" t="inlineStr">
        <is>
          <t>Рост ФОТ, % в год</t>
        </is>
      </c>
      <c r="C15" s="19" t="n">
        <v>0.12</v>
      </c>
      <c r="H15" s="13" t="inlineStr">
        <is>
          <t>Дефицит ИТ-специалистов на рынке — рост выше инфляции</t>
        </is>
      </c>
    </row>
    <row r="16">
      <c r="B16" s="11" t="inlineStr">
        <is>
          <t>Ставка дисконтирования, % в год</t>
        </is>
      </c>
      <c r="C16" s="19" t="n">
        <v>0.2</v>
      </c>
      <c r="H16" s="13" t="inlineStr">
        <is>
          <t>Для расчёта NPV затрат. Стартап, высокий риск</t>
        </is>
      </c>
    </row>
    <row r="17">
      <c r="B17" s="11" t="inlineStr">
        <is>
          <t>Резерв на непредвиденное (contingency), %</t>
        </is>
      </c>
      <c r="C17" s="19" t="n">
        <v>0.15</v>
      </c>
      <c r="H17" s="13" t="inlineStr">
        <is>
          <t>Надбавка к прямым затратам</t>
        </is>
      </c>
    </row>
    <row r="18">
      <c r="B18" s="11" t="inlineStr">
        <is>
          <t>Бюджет CFO на облако, $/мес</t>
        </is>
      </c>
      <c r="C18" s="18" t="n">
        <v>5000</v>
      </c>
      <c r="H18" s="13" t="inlineStr">
        <is>
          <t>Письмо CFO (арт. 6): $5 000/мес на всё техническое — блоки 1 и 2, включая мониторинг и SaaS. $9 000 — цифра из презентации совету, разработке недоступна</t>
        </is>
      </c>
    </row>
    <row r="19">
      <c r="B19" s="11" t="inlineStr">
        <is>
          <t>Стоимость минуты простоя, $</t>
        </is>
      </c>
      <c r="C19" s="18" t="n">
        <v>12000</v>
      </c>
      <c r="H19" s="13" t="inlineStr">
        <is>
          <t>Оценка инвестора (арт. 1, 7). Проверка: $12k/мин x 525 600 мин = $6,3 млрд/год при GMV Года 1 $7,5 млн — это пиковая минута распродажи примерно Года 3, а не минута запуска</t>
        </is>
      </c>
    </row>
    <row r="20">
      <c r="B20" s="11" t="inlineStr">
        <is>
          <t>Целевой SLO (доступность), %</t>
        </is>
      </c>
      <c r="C20" s="20" t="n">
        <v>0.999</v>
      </c>
      <c r="H20" s="13" t="inlineStr">
        <is>
          <t>SLO задаётся на листе каждого варианта: A — 99,9%, B — 99,95%, C — 99,99%</t>
        </is>
      </c>
    </row>
    <row r="21" ht="15.75" customHeight="1" s="48">
      <c r="B21" s="11" t="inlineStr">
        <is>
          <t>Учитывать стоимость простоя в TCO (1 — да, 0 — нет)</t>
        </is>
      </c>
      <c r="C21" s="21" t="n">
        <v>0</v>
      </c>
      <c r="H21" s="13" t="inlineStr">
        <is>
          <t>0 — методика инвестора отключена; потери считаются от выручки года (строка 53 на листах вариантов)</t>
        </is>
      </c>
    </row>
    <row r="22" ht="15.75" customHeight="1" s="48"/>
    <row r="23" ht="15.75" customHeight="1" s="48">
      <c r="B23" s="7" t="inlineStr">
        <is>
          <t>3. Индексы роста — расчёт, не редактировать</t>
        </is>
      </c>
      <c r="C23" s="8" t="n"/>
      <c r="D23" s="8" t="n"/>
      <c r="E23" s="8" t="n"/>
      <c r="F23" s="8" t="n"/>
      <c r="G23" s="8" t="n"/>
      <c r="H23" s="8" t="n"/>
    </row>
    <row r="24" ht="15.75" customHeight="1" s="48">
      <c r="B24" s="9" t="inlineStr">
        <is>
          <t>Драйвер</t>
        </is>
      </c>
      <c r="C24" s="9" t="inlineStr">
        <is>
          <t>Год 1</t>
        </is>
      </c>
      <c r="D24" s="9" t="inlineStr">
        <is>
          <t>Год 2</t>
        </is>
      </c>
      <c r="E24" s="9" t="inlineStr">
        <is>
          <t>Год 3</t>
        </is>
      </c>
      <c r="F24" s="9" t="inlineStr">
        <is>
          <t>Год 4</t>
        </is>
      </c>
      <c r="G24" s="9" t="inlineStr">
        <is>
          <t>Год 5</t>
        </is>
      </c>
      <c r="H24" s="9" t="inlineStr">
        <is>
          <t>Как считается</t>
        </is>
      </c>
    </row>
    <row r="25" ht="15.75" customHeight="1" s="48">
      <c r="B25" s="11" t="inlineStr">
        <is>
          <t>фикс</t>
        </is>
      </c>
      <c r="C25" s="22" t="n">
        <v>1</v>
      </c>
      <c r="D25" s="22" t="n">
        <v>1</v>
      </c>
      <c r="E25" s="22" t="n">
        <v>1</v>
      </c>
      <c r="F25" s="22" t="n">
        <v>1</v>
      </c>
      <c r="G25" s="22" t="n">
        <v>1</v>
      </c>
      <c r="H25" s="13" t="inlineStr">
        <is>
          <t>Затраты не меняются по годам</t>
        </is>
      </c>
    </row>
    <row r="26" ht="15.75" customHeight="1" s="48">
      <c r="B26" s="11" t="inlineStr">
        <is>
          <t>инфляция</t>
        </is>
      </c>
      <c r="C26" s="22" t="n">
        <v>1</v>
      </c>
      <c r="D26" s="22">
        <f>C26*(1+$C$14)</f>
        <v/>
      </c>
      <c r="E26" s="22">
        <f>D26*(1+$C$14)</f>
        <v/>
      </c>
      <c r="F26" s="22">
        <f>E26*(1+$C$14)</f>
        <v/>
      </c>
      <c r="G26" s="22">
        <f>F26*(1+$C$14)</f>
        <v/>
      </c>
      <c r="H26" s="13" t="inlineStr">
        <is>
          <t>Год N = Год N-1 × (1 + инфляция)</t>
        </is>
      </c>
    </row>
    <row r="27" ht="15.75" customHeight="1" s="48">
      <c r="B27" s="11" t="inlineStr">
        <is>
          <t>ФОТ</t>
        </is>
      </c>
      <c r="C27" s="22" t="n">
        <v>1</v>
      </c>
      <c r="D27" s="22">
        <f>C27*(1+$C$15)</f>
        <v/>
      </c>
      <c r="E27" s="22">
        <f>D27*(1+$C$15)</f>
        <v/>
      </c>
      <c r="F27" s="22">
        <f>E27*(1+$C$15)</f>
        <v/>
      </c>
      <c r="G27" s="22">
        <f>F27*(1+$C$15)</f>
        <v/>
      </c>
      <c r="H27" s="13" t="inlineStr">
        <is>
          <t>Год N = Год N-1 × (1 + рост ФОТ)</t>
        </is>
      </c>
    </row>
    <row r="28" ht="15.75" customHeight="1" s="48">
      <c r="B28" s="11" t="inlineStr">
        <is>
          <t>пользователи</t>
        </is>
      </c>
      <c r="C28" s="22">
        <f>C7/$C$7</f>
        <v/>
      </c>
      <c r="D28" s="22">
        <f>D7/$C$7</f>
        <v/>
      </c>
      <c r="E28" s="22">
        <f>E7/$C$7</f>
        <v/>
      </c>
      <c r="F28" s="22">
        <f>F7/$C$7</f>
        <v/>
      </c>
      <c r="G28" s="22">
        <f>G7/$C$7</f>
        <v/>
      </c>
      <c r="H28" s="13" t="inlineStr">
        <is>
          <t>Пропорционально числу активных пользователей</t>
        </is>
      </c>
    </row>
    <row r="29" ht="15.75" customHeight="1" s="48">
      <c r="B29" s="11" t="inlineStr">
        <is>
          <t>заказы</t>
        </is>
      </c>
      <c r="C29" s="22">
        <f>C8/$C$8</f>
        <v/>
      </c>
      <c r="D29" s="22">
        <f>D8/$C$8</f>
        <v/>
      </c>
      <c r="E29" s="22">
        <f>E8/$C$8</f>
        <v/>
      </c>
      <c r="F29" s="22">
        <f>F8/$C$8</f>
        <v/>
      </c>
      <c r="G29" s="22">
        <f>G8/$C$8</f>
        <v/>
      </c>
      <c r="H29" s="13" t="inlineStr">
        <is>
          <t>Пропорционально числу заказов</t>
        </is>
      </c>
    </row>
    <row r="30" ht="15.75" customHeight="1" s="48">
      <c r="B30" s="11" t="inlineStr">
        <is>
          <t>GMV</t>
        </is>
      </c>
      <c r="C30" s="22">
        <f>C10/$C$10</f>
        <v/>
      </c>
      <c r="D30" s="22">
        <f>D10/$C$10</f>
        <v/>
      </c>
      <c r="E30" s="22">
        <f>E10/$C$10</f>
        <v/>
      </c>
      <c r="F30" s="22">
        <f>F10/$C$10</f>
        <v/>
      </c>
      <c r="G30" s="22">
        <f>G10/$C$10</f>
        <v/>
      </c>
      <c r="H30" s="13" t="inlineStr">
        <is>
          <t>Пропорционально обороту</t>
        </is>
      </c>
    </row>
    <row r="31" ht="15.75" customHeight="1" s="48"/>
    <row r="32" ht="15" customHeight="1" s="48">
      <c r="B32" s="13" t="inlineStr">
        <is>
      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      </is>
      </c>
    </row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B32:H33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7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4" customWidth="1" style="48" min="2" max="2"/>
    <col width="16" customWidth="1" style="48" min="3" max="3"/>
    <col width="15" customWidth="1" style="48" min="4" max="4"/>
    <col width="14" customWidth="1" style="48" min="5" max="10"/>
    <col width="10" customWidth="1" style="48" min="11" max="11"/>
    <col width="46" customWidth="1" style="48" min="12" max="12"/>
    <col width="8.710000000000001" customWidth="1" style="48" min="13" max="26"/>
  </cols>
  <sheetData>
    <row r="2">
      <c r="B2" s="1" t="inlineStr">
        <is>
          <t>TCO на 5 лет — Africa Delivery, вариант A — модульный монолит</t>
        </is>
      </c>
    </row>
    <row r="3">
      <c r="B3" s="6" t="inlineStr">
        <is>
          <t>Целевой SLO варианта: 99.90%. Все числа — оценка архитектора, источники в колонке «Комментарий».</t>
        </is>
      </c>
    </row>
    <row r="5" ht="31.5" customHeight="1" s="48">
      <c r="B5" s="9" t="inlineStr">
        <is>
          <t>Статья затрат</t>
        </is>
      </c>
      <c r="C5" s="9" t="inlineStr">
        <is>
          <t>Драйвер роста</t>
        </is>
      </c>
      <c r="D5" s="9" t="inlineStr">
        <is>
          <t>База, $/год (Год 1)</t>
        </is>
      </c>
      <c r="E5" s="9" t="inlineStr">
        <is>
          <t>Год 1</t>
        </is>
      </c>
      <c r="F5" s="9" t="inlineStr">
        <is>
          <t>Год 2</t>
        </is>
      </c>
      <c r="G5" s="9" t="inlineStr">
        <is>
          <t>Год 3</t>
        </is>
      </c>
      <c r="H5" s="9" t="inlineStr">
        <is>
          <t>Год 4</t>
        </is>
      </c>
      <c r="I5" s="9" t="inlineStr">
        <is>
          <t>Год 5</t>
        </is>
      </c>
      <c r="J5" s="9" t="inlineStr">
        <is>
          <t>Итого 5 лет</t>
        </is>
      </c>
      <c r="K5" s="9" t="inlineStr">
        <is>
          <t>Доля</t>
        </is>
      </c>
      <c r="L5" s="9" t="inlineStr">
        <is>
          <t>Комментарий / источник</t>
        </is>
      </c>
    </row>
    <row r="6">
      <c r="B6" s="7" t="inlineStr">
        <is>
          <t>БЛОК 1. Облачная инфраструктура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1" t="inlineStr">
        <is>
          <t>Compute: ноды / контейнеры</t>
        </is>
      </c>
      <c r="C7" s="17" t="inlineStr">
        <is>
          <t>пользователи</t>
        </is>
      </c>
      <c r="D7" s="18" t="n">
        <v>4200</v>
      </c>
      <c r="E7" s="23" t="n">
        <v>4200</v>
      </c>
      <c r="F7" s="23" t="n">
        <v>16800</v>
      </c>
      <c r="G7" s="23" t="n">
        <v>42000</v>
      </c>
      <c r="H7" s="23" t="n">
        <v>70000</v>
      </c>
      <c r="I7" s="23" t="n">
        <v>98000</v>
      </c>
      <c r="J7" s="23" t="n">
        <v>231000</v>
      </c>
      <c r="K7" s="24" t="n"/>
      <c r="L7" s="25" t="inlineStr">
        <is>
          <t>2 деплой-единицы (app + worker), 2-4 реплики</t>
        </is>
      </c>
    </row>
    <row r="8">
      <c r="B8" s="11" t="inlineStr">
        <is>
          <t>Управляемая БД (PostgreSQL + реплика)</t>
        </is>
      </c>
      <c r="C8" s="17" t="inlineStr">
        <is>
          <t>пользователи</t>
        </is>
      </c>
      <c r="D8" s="18" t="n">
        <v>3600</v>
      </c>
      <c r="E8" s="23" t="n">
        <v>3600</v>
      </c>
      <c r="F8" s="23" t="n">
        <v>14400</v>
      </c>
      <c r="G8" s="23" t="n">
        <v>36000</v>
      </c>
      <c r="H8" s="23" t="n">
        <v>60000</v>
      </c>
      <c r="I8" s="23" t="n">
        <v>84000</v>
      </c>
      <c r="J8" s="23" t="n">
        <v>198000</v>
      </c>
      <c r="K8" s="24" t="n"/>
      <c r="L8" s="25" t="inlineStr">
        <is>
          <t>один инстанс, схема на модуль</t>
        </is>
      </c>
    </row>
    <row r="9">
      <c r="B9" s="11" t="inlineStr">
        <is>
          <t>Хранилище объектов и резервные копии</t>
        </is>
      </c>
      <c r="C9" s="17" t="inlineStr">
        <is>
          <t>пользователи</t>
        </is>
      </c>
      <c r="D9" s="18" t="n">
        <v>600</v>
      </c>
      <c r="E9" s="23" t="n">
        <v>600</v>
      </c>
      <c r="F9" s="23" t="n">
        <v>2400</v>
      </c>
      <c r="G9" s="23" t="n">
        <v>6000</v>
      </c>
      <c r="H9" s="23" t="n">
        <v>10000</v>
      </c>
      <c r="I9" s="23" t="n">
        <v>14000</v>
      </c>
      <c r="J9" s="23" t="n">
        <v>33000</v>
      </c>
      <c r="K9" s="24" t="n"/>
      <c r="L9" s="25" t="inlineStr">
        <is>
          <t>фото 5000 SKU</t>
        </is>
      </c>
    </row>
    <row r="10">
      <c r="B10" s="11" t="inlineStr">
        <is>
          <t>CDN и исходящий трафик</t>
        </is>
      </c>
      <c r="C10" s="17" t="inlineStr">
        <is>
          <t>пользователи</t>
        </is>
      </c>
      <c r="D10" s="18" t="n">
        <v>1800</v>
      </c>
      <c r="E10" s="23" t="n">
        <v>1800</v>
      </c>
      <c r="F10" s="23" t="n">
        <v>7200</v>
      </c>
      <c r="G10" s="23" t="n">
        <v>18000</v>
      </c>
      <c r="H10" s="23" t="n">
        <v>30000</v>
      </c>
      <c r="I10" s="23" t="n">
        <v>42000</v>
      </c>
      <c r="J10" s="23" t="n">
        <v>99000</v>
      </c>
      <c r="K10" s="24" t="n"/>
      <c r="L10" s="25" t="inlineStr">
        <is>
          <t>3G, WebP, 80-90% отдаётся из кеша</t>
        </is>
      </c>
    </row>
    <row r="11">
      <c r="B11" s="11" t="inlineStr">
        <is>
          <t>Резервный регион / DR</t>
        </is>
      </c>
      <c r="C11" s="17" t="inlineStr">
        <is>
          <t>пользователи</t>
        </is>
      </c>
      <c r="D11" s="18" t="n">
        <v>1200</v>
      </c>
      <c r="E11" s="23" t="n">
        <v>1200</v>
      </c>
      <c r="F11" s="23" t="n">
        <v>4800</v>
      </c>
      <c r="G11" s="23" t="n">
        <v>12000</v>
      </c>
      <c r="H11" s="23" t="n">
        <v>20000</v>
      </c>
      <c r="I11" s="23" t="n">
        <v>28000</v>
      </c>
      <c r="J11" s="23" t="n">
        <v>66000</v>
      </c>
      <c r="K11" s="24" t="n"/>
      <c r="L11" s="25" t="inlineStr">
        <is>
          <t>бэкапы в соседний регион, RPO — минуты</t>
        </is>
      </c>
    </row>
    <row r="12">
      <c r="B12" s="11" t="inlineStr">
        <is>
          <t>Локальное размещение данных (NDPR, Нигерия)</t>
        </is>
      </c>
      <c r="C12" s="17" t="inlineStr">
        <is>
          <t>инфляция</t>
        </is>
      </c>
      <c r="D12" s="18" t="n">
        <v>4800</v>
      </c>
      <c r="E12" s="23" t="n">
        <v>4800</v>
      </c>
      <c r="F12" s="23" t="n">
        <v>5184</v>
      </c>
      <c r="G12" s="23" t="n">
        <v>5598.72</v>
      </c>
      <c r="H12" s="23" t="n">
        <v>6046.62</v>
      </c>
      <c r="I12" s="23" t="n">
        <v>6530.35</v>
      </c>
      <c r="J12" s="23" t="n">
        <v>28159.68</v>
      </c>
      <c r="K12" s="24" t="n"/>
      <c r="L12" s="25" t="inlineStr">
        <is>
          <t>площадка под ПД — см. Task4</t>
        </is>
      </c>
    </row>
    <row r="13">
      <c r="B13" s="11" t="inlineStr">
        <is>
          <t>Сеть, балансировщик, DNS, WAF</t>
        </is>
      </c>
      <c r="C13" s="17" t="inlineStr">
        <is>
          <t>инфляция</t>
        </is>
      </c>
      <c r="D13" s="18" t="n">
        <v>3000</v>
      </c>
      <c r="E13" s="23" t="n">
        <v>3000</v>
      </c>
      <c r="F13" s="23" t="n">
        <v>3240</v>
      </c>
      <c r="G13" s="23" t="n">
        <v>3499.2</v>
      </c>
      <c r="H13" s="23" t="n">
        <v>3779.14</v>
      </c>
      <c r="I13" s="23" t="n">
        <v>4081.47</v>
      </c>
      <c r="J13" s="23" t="n">
        <v>17599.8</v>
      </c>
      <c r="K13" s="24" t="n"/>
      <c r="L13" s="25" t="inlineStr"/>
    </row>
    <row r="14">
      <c r="B14" s="11" t="n"/>
      <c r="C14" s="17" t="n"/>
      <c r="D14" s="18" t="n"/>
      <c r="E14" s="23" t="n"/>
      <c r="F14" s="23" t="n"/>
      <c r="G14" s="23" t="n"/>
      <c r="H14" s="23" t="n"/>
      <c r="I14" s="23" t="n"/>
      <c r="J14" s="23" t="n"/>
      <c r="K14" s="24" t="n"/>
      <c r="L14" s="25" t="n"/>
    </row>
    <row r="15">
      <c r="B15" s="26" t="inlineStr">
        <is>
          <t>Итого по блоку</t>
        </is>
      </c>
      <c r="C15" s="27" t="n"/>
      <c r="D15" s="27" t="n"/>
      <c r="E15" s="28" t="n">
        <v>19200</v>
      </c>
      <c r="F15" s="28" t="n">
        <v>54024</v>
      </c>
      <c r="G15" s="28" t="n">
        <v>123097.92</v>
      </c>
      <c r="H15" s="28" t="n">
        <v>199825.75</v>
      </c>
      <c r="I15" s="28" t="n">
        <v>276611.81</v>
      </c>
      <c r="J15" s="28" t="n">
        <v>672759.49</v>
      </c>
      <c r="K15" s="29">
        <f>IFERROR(J15/$J$51,0)</f>
        <v/>
      </c>
      <c r="L15" s="27" t="n"/>
    </row>
    <row r="16">
      <c r="C16" s="30" t="n"/>
    </row>
    <row r="17">
      <c r="B17" s="7" t="inlineStr">
        <is>
          <t>БЛОК 2. Лицензии, SaaS и инструменты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1" t="inlineStr">
        <is>
          <t>Observability (метрики, логи, трейсинг)</t>
        </is>
      </c>
      <c r="C18" s="17" t="inlineStr">
        <is>
          <t>пользователи</t>
        </is>
      </c>
      <c r="D18" s="18" t="n">
        <v>2400</v>
      </c>
      <c r="E18" s="23" t="n">
        <v>2400</v>
      </c>
      <c r="F18" s="23" t="n">
        <v>9600</v>
      </c>
      <c r="G18" s="23" t="n">
        <v>24000</v>
      </c>
      <c r="H18" s="23" t="n">
        <v>40000</v>
      </c>
      <c r="I18" s="23" t="n">
        <v>56000</v>
      </c>
      <c r="J18" s="23" t="n">
        <v>132000</v>
      </c>
      <c r="K18" s="24" t="n"/>
      <c r="L18" s="25" t="inlineStr">
        <is>
          <t>один рантайм — минимальный объём</t>
        </is>
      </c>
    </row>
    <row r="19">
      <c r="B19" s="11" t="inlineStr">
        <is>
          <t>CI/CD, репозиторий, артефакты</t>
        </is>
      </c>
      <c r="C19" s="17" t="inlineStr">
        <is>
          <t>инфляция</t>
        </is>
      </c>
      <c r="D19" s="18" t="n">
        <v>1200</v>
      </c>
      <c r="E19" s="23" t="n">
        <v>1200</v>
      </c>
      <c r="F19" s="23" t="n">
        <v>1296</v>
      </c>
      <c r="G19" s="23" t="n">
        <v>1399.68</v>
      </c>
      <c r="H19" s="23" t="n">
        <v>1511.65</v>
      </c>
      <c r="I19" s="23" t="n">
        <v>1632.59</v>
      </c>
      <c r="J19" s="23" t="n">
        <v>7039.92</v>
      </c>
      <c r="K19" s="24" t="n"/>
      <c r="L19" s="25" t="inlineStr"/>
    </row>
    <row r="20">
      <c r="B20" s="11" t="inlineStr">
        <is>
          <t>Безопасность: секреты, сканеры</t>
        </is>
      </c>
      <c r="C20" s="17" t="inlineStr">
        <is>
          <t>пользователи</t>
        </is>
      </c>
      <c r="D20" s="18" t="n">
        <v>2400</v>
      </c>
      <c r="E20" s="23" t="n">
        <v>2400</v>
      </c>
      <c r="F20" s="23" t="n">
        <v>9600</v>
      </c>
      <c r="G20" s="23" t="n">
        <v>24000</v>
      </c>
      <c r="H20" s="23" t="n">
        <v>40000</v>
      </c>
      <c r="I20" s="23" t="n">
        <v>56000</v>
      </c>
      <c r="J20" s="23" t="n">
        <v>132000</v>
      </c>
      <c r="K20" s="24" t="n"/>
      <c r="L20" s="25" t="inlineStr"/>
    </row>
    <row r="21" ht="15.75" customHeight="1" s="48">
      <c r="B21" s="11" t="inlineStr">
        <is>
          <t>WhatsApp Business API (подписка)</t>
        </is>
      </c>
      <c r="C21" s="17" t="inlineStr">
        <is>
          <t>инфляция</t>
        </is>
      </c>
      <c r="D21" s="18" t="n">
        <v>3000</v>
      </c>
      <c r="E21" s="23" t="n">
        <v>3000</v>
      </c>
      <c r="F21" s="23" t="n">
        <v>3240</v>
      </c>
      <c r="G21" s="23" t="n">
        <v>3499.2</v>
      </c>
      <c r="H21" s="23" t="n">
        <v>3779.14</v>
      </c>
      <c r="I21" s="23" t="n">
        <v>4081.47</v>
      </c>
      <c r="J21" s="23" t="n">
        <v>17599.8</v>
      </c>
      <c r="K21" s="24" t="n"/>
      <c r="L21" s="25" t="inlineStr">
        <is>
          <t>канал для продавцов</t>
        </is>
      </c>
    </row>
    <row r="22" ht="15.75" customHeight="1" s="48">
      <c r="B22" s="11" t="inlineStr">
        <is>
          <t>Прочее ПО и подписки</t>
        </is>
      </c>
      <c r="C22" s="17" t="inlineStr">
        <is>
          <t>инфляция</t>
        </is>
      </c>
      <c r="D22" s="18" t="n">
        <v>2400</v>
      </c>
      <c r="E22" s="23" t="n">
        <v>2400</v>
      </c>
      <c r="F22" s="23" t="n">
        <v>2592</v>
      </c>
      <c r="G22" s="23" t="n">
        <v>2799.36</v>
      </c>
      <c r="H22" s="23" t="n">
        <v>3023.31</v>
      </c>
      <c r="I22" s="23" t="n">
        <v>3265.17</v>
      </c>
      <c r="J22" s="23" t="n">
        <v>14079.84</v>
      </c>
      <c r="K22" s="24" t="n"/>
      <c r="L22" s="25" t="inlineStr"/>
    </row>
    <row r="23" ht="15.75" customHeight="1" s="48">
      <c r="B23" s="11" t="n"/>
      <c r="C23" s="17" t="n"/>
      <c r="D23" s="18" t="n"/>
      <c r="E23" s="23" t="n"/>
      <c r="F23" s="23" t="n"/>
      <c r="G23" s="23" t="n"/>
      <c r="H23" s="23" t="n"/>
      <c r="I23" s="23" t="n"/>
      <c r="J23" s="23" t="n"/>
      <c r="K23" s="24" t="n"/>
      <c r="L23" s="25" t="n"/>
    </row>
    <row r="24" ht="15.75" customHeight="1" s="48">
      <c r="B24" s="26" t="inlineStr">
        <is>
          <t>Итого по блоку</t>
        </is>
      </c>
      <c r="C24" s="27" t="n"/>
      <c r="D24" s="27" t="n"/>
      <c r="E24" s="28" t="n">
        <v>11400</v>
      </c>
      <c r="F24" s="28" t="n">
        <v>26328</v>
      </c>
      <c r="G24" s="28" t="n">
        <v>55698.24</v>
      </c>
      <c r="H24" s="28" t="n">
        <v>88314.10000000001</v>
      </c>
      <c r="I24" s="28" t="n">
        <v>120979.23</v>
      </c>
      <c r="J24" s="28" t="n">
        <v>302719.57</v>
      </c>
      <c r="K24" s="29">
        <f>IFERROR(J24/$J$51,0)</f>
        <v/>
      </c>
      <c r="L24" s="27" t="n"/>
    </row>
    <row r="25" ht="15.75" customHeight="1" s="48">
      <c r="C25" s="30" t="n"/>
    </row>
    <row r="26" ht="15.75" customHeight="1" s="48">
      <c r="B26" s="7" t="inlineStr">
        <is>
          <t>БЛОК 3. Транзакционные расходы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48">
      <c r="B27" s="11" t="inlineStr">
        <is>
          <t>Комиссии платёжных провайдеров</t>
        </is>
      </c>
      <c r="C27" s="17" t="inlineStr">
        <is>
          <t>GMV</t>
        </is>
      </c>
      <c r="D27" s="18" t="n">
        <v>187500</v>
      </c>
      <c r="E27" s="23" t="n">
        <v>187500</v>
      </c>
      <c r="F27" s="23" t="n">
        <v>1170000</v>
      </c>
      <c r="G27" s="23" t="n">
        <v>4050000</v>
      </c>
      <c r="H27" s="23" t="n">
        <v>8400000</v>
      </c>
      <c r="I27" s="23" t="n">
        <v>13050000</v>
      </c>
      <c r="J27" s="23" t="n">
        <v>26857500</v>
      </c>
      <c r="K27" s="24" t="n"/>
      <c r="L27" s="25" t="inlineStr">
        <is>
          <t>2,5% GMV — верхняя граница CFO (арт. 6)</t>
        </is>
      </c>
    </row>
    <row r="28" ht="15.75" customHeight="1" s="48">
      <c r="B28" s="11" t="inlineStr">
        <is>
          <t>SMS-уведомления</t>
        </is>
      </c>
      <c r="C28" s="17" t="inlineStr">
        <is>
          <t>заказы</t>
        </is>
      </c>
      <c r="D28" s="18" t="n">
        <v>30000</v>
      </c>
      <c r="E28" s="23" t="n">
        <v>30000</v>
      </c>
      <c r="F28" s="23" t="n">
        <v>180000</v>
      </c>
      <c r="G28" s="23" t="n">
        <v>600000</v>
      </c>
      <c r="H28" s="23" t="n">
        <v>1200000</v>
      </c>
      <c r="I28" s="23" t="n">
        <v>1800000</v>
      </c>
      <c r="J28" s="23" t="n">
        <v>3810000</v>
      </c>
      <c r="K28" s="24" t="n"/>
      <c r="L28" s="25" t="inlineStr">
        <is>
          <t>~2,5 SMS на заказ x $0,04</t>
        </is>
      </c>
    </row>
    <row r="29" ht="15.75" customHeight="1" s="48">
      <c r="B29" s="11" t="inlineStr">
        <is>
          <t>WhatsApp-сообщения (за диалог)</t>
        </is>
      </c>
      <c r="C29" s="17" t="inlineStr">
        <is>
          <t>заказы</t>
        </is>
      </c>
      <c r="D29" s="18" t="n">
        <v>9000</v>
      </c>
      <c r="E29" s="23" t="n">
        <v>9000</v>
      </c>
      <c r="F29" s="23" t="n">
        <v>54000</v>
      </c>
      <c r="G29" s="23" t="n">
        <v>180000</v>
      </c>
      <c r="H29" s="23" t="n">
        <v>360000</v>
      </c>
      <c r="I29" s="23" t="n">
        <v>540000</v>
      </c>
      <c r="J29" s="23" t="n">
        <v>1143000</v>
      </c>
      <c r="K29" s="24" t="n"/>
      <c r="L29" s="25" t="inlineStr">
        <is>
          <t>тариф Meta за conversation</t>
        </is>
      </c>
    </row>
    <row r="30" ht="15.75" customHeight="1" s="48">
      <c r="B30" s="11" t="inlineStr">
        <is>
          <t>Логистика: интеграции и комиссии партнёров</t>
        </is>
      </c>
      <c r="C30" s="17" t="inlineStr">
        <is>
          <t>заказы</t>
        </is>
      </c>
      <c r="D30" s="18" t="n">
        <v>30000</v>
      </c>
      <c r="E30" s="23" t="n">
        <v>30000</v>
      </c>
      <c r="F30" s="23" t="n">
        <v>180000</v>
      </c>
      <c r="G30" s="23" t="n">
        <v>600000</v>
      </c>
      <c r="H30" s="23" t="n">
        <v>1200000</v>
      </c>
      <c r="I30" s="23" t="n">
        <v>1800000</v>
      </c>
      <c r="J30" s="23" t="n">
        <v>3810000</v>
      </c>
      <c r="K30" s="24" t="n"/>
      <c r="L30" s="25" t="inlineStr">
        <is>
          <t>Sendbox (Нигерия), Sendy (Кения)</t>
        </is>
      </c>
    </row>
    <row r="31" ht="15.75" customHeight="1" s="48">
      <c r="B31" s="11" t="n"/>
      <c r="C31" s="17" t="n"/>
      <c r="D31" s="18" t="n"/>
      <c r="E31" s="23" t="n"/>
      <c r="F31" s="23" t="n"/>
      <c r="G31" s="23" t="n"/>
      <c r="H31" s="23" t="n"/>
      <c r="I31" s="23" t="n"/>
      <c r="J31" s="23" t="n"/>
      <c r="K31" s="24" t="n"/>
      <c r="L31" s="25" t="n"/>
    </row>
    <row r="32" ht="15.75" customHeight="1" s="48">
      <c r="B32" s="26" t="inlineStr">
        <is>
          <t>Итого по блоку</t>
        </is>
      </c>
      <c r="C32" s="27" t="n"/>
      <c r="D32" s="27" t="n"/>
      <c r="E32" s="28" t="n">
        <v>256500</v>
      </c>
      <c r="F32" s="28" t="n">
        <v>1584000</v>
      </c>
      <c r="G32" s="28" t="n">
        <v>5430000</v>
      </c>
      <c r="H32" s="28" t="n">
        <v>11160000</v>
      </c>
      <c r="I32" s="28" t="n">
        <v>17190000</v>
      </c>
      <c r="J32" s="28" t="n">
        <v>35620500</v>
      </c>
      <c r="K32" s="29">
        <f>IFERROR(J32/$J$51,0)</f>
        <v/>
      </c>
      <c r="L32" s="27" t="n"/>
    </row>
    <row r="33" ht="15.75" customHeight="1" s="48">
      <c r="C33" s="30" t="n"/>
    </row>
    <row r="34" ht="15.75" customHeight="1" s="48">
      <c r="B34" s="7" t="inlineStr">
        <is>
          <t>БЛОК 4. Команда (ФОТ)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48">
      <c r="B35" s="11" t="inlineStr">
        <is>
          <t>Разработка (4 FTE x $60k)</t>
        </is>
      </c>
      <c r="C35" s="17" t="inlineStr">
        <is>
          <t>ФОТ</t>
        </is>
      </c>
      <c r="D35" s="18" t="n">
        <v>240000</v>
      </c>
      <c r="E35" s="23" t="n">
        <v>240000</v>
      </c>
      <c r="F35" s="23" t="n">
        <v>268800</v>
      </c>
      <c r="G35" s="23" t="n">
        <v>301056</v>
      </c>
      <c r="H35" s="23" t="n">
        <v>337182.72</v>
      </c>
      <c r="I35" s="23" t="n">
        <v>377644.65</v>
      </c>
      <c r="J35" s="23" t="n">
        <v>1524683.37</v>
      </c>
      <c r="K35" s="24" t="n"/>
      <c r="L35" s="25" t="inlineStr">
        <is>
          <t>в рамках 6 контракторов CFO</t>
        </is>
      </c>
    </row>
    <row r="36" ht="15.75" customHeight="1" s="48">
      <c r="B36" s="11" t="inlineStr">
        <is>
          <t>DevOps / SRE (1 FTE x $70k)</t>
        </is>
      </c>
      <c r="C36" s="17" t="inlineStr">
        <is>
          <t>ФОТ</t>
        </is>
      </c>
      <c r="D36" s="18" t="n">
        <v>70000</v>
      </c>
      <c r="E36" s="23" t="n">
        <v>70000</v>
      </c>
      <c r="F36" s="23" t="n">
        <v>78400</v>
      </c>
      <c r="G36" s="23" t="n">
        <v>87808</v>
      </c>
      <c r="H36" s="23" t="n">
        <v>98344.96000000001</v>
      </c>
      <c r="I36" s="23" t="n">
        <v>110146.36</v>
      </c>
      <c r="J36" s="23" t="n">
        <v>444699.32</v>
      </c>
      <c r="K36" s="24" t="n"/>
      <c r="L36" s="25" t="inlineStr"/>
    </row>
    <row r="37" ht="15.75" customHeight="1" s="48">
      <c r="B37" s="11" t="inlineStr">
        <is>
          <t>Поддержка и дежурства (0,5 FTE)</t>
        </is>
      </c>
      <c r="C37" s="17" t="inlineStr">
        <is>
          <t>ФОТ</t>
        </is>
      </c>
      <c r="D37" s="18" t="n">
        <v>35000</v>
      </c>
      <c r="E37" s="23" t="n">
        <v>35000</v>
      </c>
      <c r="F37" s="23" t="n">
        <v>39200</v>
      </c>
      <c r="G37" s="23" t="n">
        <v>43904</v>
      </c>
      <c r="H37" s="23" t="n">
        <v>49172.48</v>
      </c>
      <c r="I37" s="23" t="n">
        <v>55073.18</v>
      </c>
      <c r="J37" s="23" t="n">
        <v>222349.66</v>
      </c>
      <c r="K37" s="24" t="n"/>
      <c r="L37" s="25" t="inlineStr">
        <is>
          <t>дежурят разработчики</t>
        </is>
      </c>
    </row>
    <row r="38" ht="15.75" customHeight="1" s="48">
      <c r="B38" s="11" t="inlineStr">
        <is>
          <t>Архитектура и менеджмент</t>
        </is>
      </c>
      <c r="C38" s="17" t="inlineStr">
        <is>
          <t>ФОТ</t>
        </is>
      </c>
      <c r="D38" s="18" t="n">
        <v>150000</v>
      </c>
      <c r="E38" s="23" t="n">
        <v>150000</v>
      </c>
      <c r="F38" s="23" t="n">
        <v>168000</v>
      </c>
      <c r="G38" s="23" t="n">
        <v>188160</v>
      </c>
      <c r="H38" s="23" t="n">
        <v>210739.2</v>
      </c>
      <c r="I38" s="23" t="n">
        <v>236027.9</v>
      </c>
      <c r="J38" s="23" t="n">
        <v>952927.1</v>
      </c>
      <c r="K38" s="24" t="n"/>
      <c r="L38" s="25" t="inlineStr">
        <is>
          <t>SA + CTO</t>
        </is>
      </c>
    </row>
    <row r="39" ht="15.75" customHeight="1" s="48">
      <c r="B39" s="11" t="n"/>
      <c r="C39" s="17" t="n"/>
      <c r="D39" s="18" t="n"/>
      <c r="E39" s="23" t="n"/>
      <c r="F39" s="23" t="n"/>
      <c r="G39" s="23" t="n"/>
      <c r="H39" s="23" t="n"/>
      <c r="I39" s="23" t="n"/>
      <c r="J39" s="23" t="n"/>
      <c r="K39" s="24" t="n"/>
      <c r="L39" s="25" t="n"/>
    </row>
    <row r="40" ht="15.75" customHeight="1" s="48">
      <c r="B40" s="26" t="inlineStr">
        <is>
          <t>Итого по блоку</t>
        </is>
      </c>
      <c r="C40" s="27" t="n"/>
      <c r="D40" s="27" t="n"/>
      <c r="E40" s="28" t="n">
        <v>495000</v>
      </c>
      <c r="F40" s="28" t="n">
        <v>554400</v>
      </c>
      <c r="G40" s="28" t="n">
        <v>620928</v>
      </c>
      <c r="H40" s="28" t="n">
        <v>695439.36</v>
      </c>
      <c r="I40" s="28" t="n">
        <v>778892.08</v>
      </c>
      <c r="J40" s="28" t="n">
        <v>3144659.44</v>
      </c>
      <c r="K40" s="29">
        <f>IFERROR(J40/$J$51,0)</f>
        <v/>
      </c>
      <c r="L40" s="27" t="n"/>
    </row>
    <row r="41" ht="15.75" customHeight="1" s="48">
      <c r="C41" s="30" t="n"/>
    </row>
    <row r="42" ht="15.75" customHeight="1" s="48">
      <c r="B42" s="7" t="inlineStr">
        <is>
          <t>БЛОК 5. Разовые затраты и комплаенс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48">
      <c r="B43" s="11" t="inlineStr">
        <is>
          <t>Юридический и комплаенс-аудит (NDPR, POPIA, KICA)</t>
        </is>
      </c>
      <c r="C43" s="17" t="inlineStr">
        <is>
          <t>фикс</t>
        </is>
      </c>
      <c r="D43" s="18" t="n">
        <v>25000</v>
      </c>
      <c r="E43" s="23" t="n">
        <v>25000</v>
      </c>
      <c r="F43" s="23" t="n">
        <v>0</v>
      </c>
      <c r="G43" s="23" t="n">
        <v>25000</v>
      </c>
      <c r="H43" s="23" t="n">
        <v>0</v>
      </c>
      <c r="I43" s="23" t="n">
        <v>0</v>
      </c>
      <c r="J43" s="23" t="n">
        <v>50000</v>
      </c>
      <c r="K43" s="24" t="n"/>
      <c r="L43" s="25" t="inlineStr">
        <is>
          <t>Год 1 — Нигерия и Кения, Год 3 — ЮАР</t>
        </is>
      </c>
    </row>
    <row r="44" ht="15.75" customHeight="1" s="48">
      <c r="B44" s="11" t="inlineStr">
        <is>
          <t>Пентест и аудит безопасности</t>
        </is>
      </c>
      <c r="C44" s="17" t="inlineStr">
        <is>
          <t>инфляция</t>
        </is>
      </c>
      <c r="D44" s="18" t="n">
        <v>15000</v>
      </c>
      <c r="E44" s="23" t="n">
        <v>15000</v>
      </c>
      <c r="F44" s="23" t="n">
        <v>16200</v>
      </c>
      <c r="G44" s="23" t="n">
        <v>17496</v>
      </c>
      <c r="H44" s="23" t="n">
        <v>18895.68</v>
      </c>
      <c r="I44" s="23" t="n">
        <v>20407.33</v>
      </c>
      <c r="J44" s="23" t="n">
        <v>87999.00999999999</v>
      </c>
      <c r="K44" s="24" t="n"/>
      <c r="L44" s="25" t="inlineStr">
        <is>
          <t>ежегодно</t>
        </is>
      </c>
    </row>
    <row r="45" ht="15.75" customHeight="1" s="48">
      <c r="B45" s="11" t="inlineStr">
        <is>
          <t>Миграция данных и интеграции при запуске</t>
        </is>
      </c>
      <c r="C45" s="17" t="inlineStr">
        <is>
          <t>фикс</t>
        </is>
      </c>
      <c r="D45" s="18" t="n">
        <v>20000</v>
      </c>
      <c r="E45" s="23" t="n">
        <v>20000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20000</v>
      </c>
      <c r="K45" s="24" t="n"/>
      <c r="L45" s="25" t="inlineStr"/>
    </row>
    <row r="46" ht="15.75" customHeight="1" s="48">
      <c r="B46" s="11" t="inlineStr">
        <is>
          <t>Обучение команды и найм</t>
        </is>
      </c>
      <c r="C46" s="17" t="inlineStr">
        <is>
          <t>фикс</t>
        </is>
      </c>
      <c r="D46" s="18" t="n">
        <v>30000</v>
      </c>
      <c r="E46" s="23" t="n">
        <v>30000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30000</v>
      </c>
      <c r="K46" s="24" t="n"/>
      <c r="L46" s="25" t="inlineStr"/>
    </row>
    <row r="47" ht="15.75" customHeight="1" s="48">
      <c r="B47" s="11" t="inlineStr">
        <is>
          <t>Выделение сервисов из монолита (переход к B)</t>
        </is>
      </c>
      <c r="C47" s="17" t="inlineStr">
        <is>
          <t>фикс</t>
        </is>
      </c>
      <c r="D47" s="18" t="n">
        <v>120000</v>
      </c>
      <c r="E47" s="23" t="n">
        <v>0</v>
      </c>
      <c r="F47" s="23" t="n">
        <v>0</v>
      </c>
      <c r="G47" s="23" t="n">
        <v>120000</v>
      </c>
      <c r="H47" s="23" t="n">
        <v>0</v>
      </c>
      <c r="I47" s="23" t="n">
        <v>0</v>
      </c>
      <c r="J47" s="23" t="n">
        <v>120000</v>
      </c>
      <c r="K47" s="24" t="n"/>
      <c r="L47" s="25" t="inlineStr">
        <is>
          <t>3 инженера x 4 мес — цена будущего перехода учтена здесь</t>
        </is>
      </c>
    </row>
    <row r="48" ht="15.75" customHeight="1" s="48">
      <c r="B48" s="26" t="inlineStr">
        <is>
          <t>Итого по блоку</t>
        </is>
      </c>
      <c r="C48" s="27" t="n"/>
      <c r="D48" s="27" t="n"/>
      <c r="E48" s="28" t="n">
        <v>90000</v>
      </c>
      <c r="F48" s="28" t="n">
        <v>16200</v>
      </c>
      <c r="G48" s="28" t="n">
        <v>162496</v>
      </c>
      <c r="H48" s="28" t="n">
        <v>18895.68</v>
      </c>
      <c r="I48" s="28" t="n">
        <v>20407.33</v>
      </c>
      <c r="J48" s="28" t="n">
        <v>307999.01</v>
      </c>
      <c r="K48" s="29">
        <f>IFERROR(J48/$J$51,0)</f>
        <v/>
      </c>
      <c r="L48" s="27" t="n"/>
    </row>
    <row r="49" ht="15.75" customHeight="1" s="48">
      <c r="C49" s="30" t="n"/>
    </row>
    <row r="50" ht="15.75" customHeight="1" s="48">
      <c r="B50" s="15" t="inlineStr">
        <is>
          <t>Резерв на непредвиденное (contingency)</t>
        </is>
      </c>
      <c r="C50" s="30" t="n"/>
      <c r="E50" s="31">
        <f>(E15+E24+E32+E40+E48)*'Допущения'!$C$17</f>
        <v/>
      </c>
      <c r="F50" s="31">
        <f>(F15+F24+F32+F40+F48)*'Допущения'!$C$17</f>
        <v/>
      </c>
      <c r="G50" s="31">
        <f>(G15+G24+G32+G40+G48)*'Допущения'!$C$17</f>
        <v/>
      </c>
      <c r="H50" s="31">
        <f>(H15+H24+H32+H40+H48)*'Допущения'!$C$17</f>
        <v/>
      </c>
      <c r="I50" s="31">
        <f>(I15+I24+I32+I40+I48)*'Допущения'!$C$17</f>
        <v/>
      </c>
      <c r="J50" s="23" t="n">
        <v>6007295.63</v>
      </c>
      <c r="L50" s="6" t="inlineStr">
        <is>
          <t>Расчёт: сумма блоков 1–5 × ставка резерва с листа «Допущения»</t>
        </is>
      </c>
    </row>
    <row r="51" ht="15.75" customHeight="1" s="48">
      <c r="B51" s="26" t="inlineStr">
        <is>
          <t>ИТОГО прямые затраты (TCO без учёта простоев)</t>
        </is>
      </c>
      <c r="C51" s="30" t="n"/>
      <c r="E51" s="28" t="n">
        <v>1002915</v>
      </c>
      <c r="F51" s="28" t="n">
        <v>2570194.8</v>
      </c>
      <c r="G51" s="28" t="n">
        <v>7351053.18</v>
      </c>
      <c r="H51" s="28" t="n">
        <v>13986846.13</v>
      </c>
      <c r="I51" s="28" t="n">
        <v>21144924.03</v>
      </c>
      <c r="J51" s="28" t="n">
        <v>46055933.14</v>
      </c>
    </row>
    <row r="52" ht="15.75" customHeight="1" s="48">
      <c r="B52" s="7" t="inlineStr">
        <is>
          <t>БЛОК 6. Стоимость недоступности (риск)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48">
      <c r="B53" s="11" t="inlineStr">
        <is>
          <t>Ожидаемые потери из-за простоя (от выручки года)</t>
        </is>
      </c>
      <c r="E53" s="31" t="n">
        <v>11250</v>
      </c>
      <c r="F53" s="31" t="n">
        <v>70200</v>
      </c>
      <c r="G53" s="31" t="n">
        <v>243000</v>
      </c>
      <c r="H53" s="31" t="n">
        <v>504000</v>
      </c>
      <c r="I53" s="31" t="n">
        <v>783000</v>
      </c>
      <c r="J53" s="23" t="n">
        <v>1611450</v>
      </c>
      <c r="L53" s="13" t="inlineStr">
        <is>
          <t>SLO 99.90% = 526 мин/год. Потери = минуты x выручка в минуту соответствующего года x 1,5 (поправка на пиковый характер отказов). Ставка $12 000/мин не применяется: см. комментарий к C19 на листе «Допущения»</t>
        </is>
      </c>
    </row>
    <row r="54" ht="15.75" customHeight="1" s="48">
      <c r="B54" s="26" t="inlineStr">
        <is>
          <t>ИТОГО TCO с учётом стоимости простоя</t>
        </is>
      </c>
      <c r="E54" s="28" t="n">
        <v>1014165</v>
      </c>
      <c r="F54" s="28" t="n">
        <v>2640394.8</v>
      </c>
      <c r="G54" s="28" t="n">
        <v>7594053.18</v>
      </c>
      <c r="H54" s="28" t="n">
        <v>14490846.13</v>
      </c>
      <c r="I54" s="28" t="n">
        <v>21927924.03</v>
      </c>
      <c r="J54" s="28" t="n">
        <v>47667383.14</v>
      </c>
    </row>
    <row r="55" ht="15.75" customHeight="1" s="48">
      <c r="B55" s="11" t="inlineStr">
        <is>
          <t>Коэффициент дисконтирования</t>
        </is>
      </c>
      <c r="E55" s="32">
        <f>1/(1+'Допущения'!$C$16)^0</f>
        <v/>
      </c>
      <c r="F55" s="32">
        <f>1/(1+'Допущения'!$C$16)^1</f>
        <v/>
      </c>
      <c r="G55" s="32">
        <f>1/(1+'Допущения'!$C$16)^2</f>
        <v/>
      </c>
      <c r="H55" s="32">
        <f>1/(1+'Допущения'!$C$16)^3</f>
        <v/>
      </c>
      <c r="I55" s="32">
        <f>1/(1+'Допущения'!$C$16)^4</f>
        <v/>
      </c>
    </row>
    <row r="56" ht="15.75" customHeight="1" s="48">
      <c r="B56" s="26" t="inlineStr">
        <is>
          <t>Дисконтированный TCO (NPV затрат)</t>
        </is>
      </c>
      <c r="E56" s="28" t="n">
        <v>1014165</v>
      </c>
      <c r="F56" s="28" t="n">
        <v>2200329</v>
      </c>
      <c r="G56" s="28" t="n">
        <v>5273648.04</v>
      </c>
      <c r="H56" s="28" t="n">
        <v>8385906.32</v>
      </c>
      <c r="I56" s="28" t="n">
        <v>10574809.04</v>
      </c>
      <c r="J56" s="28">
        <f>SUM(E56:I56)</f>
        <v/>
      </c>
    </row>
    <row r="57" ht="15.75" customHeight="1" s="48"/>
    <row r="58" ht="15.75" customHeight="1" s="48">
      <c r="B58" s="7" t="inlineStr">
        <is>
          <t>Ключевые метрики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48">
      <c r="B59" s="15" t="inlineStr">
        <is>
          <t>TCO за 5 лет, прямые затраты</t>
        </is>
      </c>
      <c r="E59" s="57">
        <f>J51</f>
        <v/>
      </c>
      <c r="F59" s="58" t="n"/>
      <c r="L59" s="13" t="inlineStr">
        <is>
          <t>Основная цифра для сравнения вариантов в ADR</t>
        </is>
      </c>
    </row>
    <row r="60" ht="15.75" customHeight="1" s="48">
      <c r="B60" s="15" t="inlineStr">
        <is>
          <t>TCO за 5 лет с учётом простоя</t>
        </is>
      </c>
      <c r="E60" s="57">
        <f>J54</f>
        <v/>
      </c>
      <c r="F60" s="58" t="n"/>
      <c r="L60" s="13" t="inlineStr">
        <is>
          <t>Показывает цену недоступности для mission critical</t>
        </is>
      </c>
    </row>
    <row r="61" ht="15.75" customHeight="1" s="48">
      <c r="B61" s="15" t="inlineStr">
        <is>
          <t>NPV затрат за 5 лет</t>
        </is>
      </c>
      <c r="E61" s="57">
        <f>J56</f>
        <v/>
      </c>
      <c r="F61" s="58" t="n"/>
      <c r="L61" s="13" t="inlineStr">
        <is>
          <t>Затраты, приведённые к сегодняшнему дню</t>
        </is>
      </c>
    </row>
    <row r="62" ht="15.75" customHeight="1" s="48">
      <c r="B62" s="15" t="inlineStr">
        <is>
          <t>Средние затраты в год</t>
        </is>
      </c>
      <c r="E62" s="57">
        <f>J51/5</f>
        <v/>
      </c>
      <c r="F62" s="58" t="n"/>
      <c r="L62" s="13" t="inlineStr">
        <is>
          <t>Ориентир для планирования бюджета</t>
        </is>
      </c>
    </row>
    <row r="63" ht="15.75" customHeight="1" s="48">
      <c r="B63" s="15" t="inlineStr">
        <is>
          <t>Облако и SaaS (блоки 1+2), $/мес в Год 1</t>
        </is>
      </c>
      <c r="E63" s="57">
        <f>(E15+E24)/12</f>
        <v/>
      </c>
      <c r="F63" s="58" t="n"/>
      <c r="L63" s="13" t="inlineStr">
        <is>
          <t>CFO включает в лимит вычисления, хранение, БД, CDN, мониторинг и SaaS (арт. 6)</t>
        </is>
      </c>
    </row>
    <row r="64" ht="15.75" customHeight="1" s="48">
      <c r="B64" s="15" t="inlineStr">
        <is>
          <t>Проверка бюджета CFO на Год 1</t>
        </is>
      </c>
      <c r="E64" s="59">
        <f>IF((E15+E24)/12&lt;='Допущения'!$C$18,"В бюджете CFO","ПРЕВЫШЕНИЕ бюджета")</f>
        <v/>
      </c>
      <c r="F64" s="58" t="n"/>
      <c r="L64" s="13" t="inlineStr">
        <is>
          <t>Если превышение — объясни в ADR, чем жертвуешь</t>
        </is>
      </c>
    </row>
    <row r="65" ht="15.75" customHeight="1" s="48">
      <c r="B65" s="15" t="inlineStr">
        <is>
          <t>TCO на 1 заказ за 5 лет</t>
        </is>
      </c>
      <c r="E65" s="60">
        <f>IFERROR(J51/SUM('Допущения'!$C$8:$G$8),0)</f>
        <v/>
      </c>
      <c r="F65" s="58" t="n"/>
      <c r="L65" s="13" t="inlineStr">
        <is>
          <t>Юнит-экономика: сколько ИТ стоит в одном заказе</t>
        </is>
      </c>
    </row>
    <row r="66" ht="15.75" customHeight="1" s="48">
      <c r="B66" s="15" t="inlineStr">
        <is>
          <t>TCO на 1 активного пользователя (Год 5)</t>
        </is>
      </c>
      <c r="E66" s="60">
        <f>IFERROR(I51/'Допущения'!$G$7,0)</f>
        <v/>
      </c>
      <c r="F66" s="58" t="n"/>
      <c r="L66" s="13" t="inlineStr">
        <is>
          <t>Проверка масштабируемости модели</t>
        </is>
      </c>
    </row>
    <row r="67" ht="15.75" customHeight="1" s="48">
      <c r="B67" s="15" t="inlineStr">
        <is>
          <t>Затраты ИТ как доля GMV за 5 лет</t>
        </is>
      </c>
      <c r="E67" s="61">
        <f>IFERROR(J51/SUM('Допущения'!$C$10:$G$10),0)</f>
        <v/>
      </c>
      <c r="F67" s="58" t="n"/>
      <c r="L67" s="13" t="inlineStr">
        <is>
          <t>Здоровый маркетплейс — единицы процентов</t>
        </is>
      </c>
    </row>
    <row r="68" ht="15.75" customHeight="1" s="48">
      <c r="B68" s="15" t="inlineStr">
        <is>
          <t>Доля облачной инфраструктуры в TCO</t>
        </is>
      </c>
      <c r="E68" s="62">
        <f>IFERROR(J15/J51,0)</f>
        <v/>
      </c>
      <c r="F68" s="58" t="n"/>
      <c r="L68" s="13" t="inlineStr">
        <is>
          <t>Обычно меньше, чем ожидают студенты</t>
        </is>
      </c>
    </row>
    <row r="69" ht="15.75" customHeight="1" s="48">
      <c r="B69" s="15" t="inlineStr">
        <is>
          <t>Доля транзакционных расходов в TCO</t>
        </is>
      </c>
      <c r="E69" s="62">
        <f>IFERROR(J32/J51,0)</f>
        <v/>
      </c>
      <c r="F69" s="58" t="n"/>
      <c r="L69" s="13" t="inlineStr">
        <is>
          <t>Растёт быстрее всего вместе с GMV</t>
        </is>
      </c>
    </row>
    <row r="70" ht="15.75" customHeight="1" s="48">
      <c r="B70" s="15" t="inlineStr">
        <is>
          <t>Доля команды (ФОТ) в TCO</t>
        </is>
      </c>
      <c r="E70" s="62">
        <f>IFERROR(J40/J51,0)</f>
        <v/>
      </c>
      <c r="F70" s="58" t="n"/>
      <c r="L70" s="13" t="inlineStr">
        <is>
          <t>Как правило, крупнейшая статья</t>
        </is>
      </c>
    </row>
    <row r="71" ht="15.75" customHeight="1" s="48"/>
    <row r="72" ht="15.75" customHeight="1" s="48">
      <c r="B72" s="39" t="inlineStr">
        <is>
          <t>Вывод для ADR №1</t>
        </is>
      </c>
    </row>
    <row r="73" ht="15" customHeight="1" s="48">
      <c r="B73" s="63" t="inlineStr">
        <is>
          <t>Выбран. Запускается в срок силами шести контракторов, занимает 51% лимита CFO, самая низкая стоимость заказа. Модульность даёт переход к варианту B извлечением сервисов; стоимость этого перехода ($120 тыс.) уже включена в Год 3.</t>
        </is>
      </c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5" t="n"/>
    </row>
    <row r="74" ht="15.75" customHeight="1" s="48">
      <c r="B74" s="66" t="n"/>
      <c r="L74" s="67" t="n"/>
    </row>
    <row r="75" ht="15.75" customHeight="1" s="48">
      <c r="B75" s="68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70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7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4" customWidth="1" style="48" min="2" max="2"/>
    <col width="16" customWidth="1" style="48" min="3" max="3"/>
    <col width="15" customWidth="1" style="48" min="4" max="4"/>
    <col width="14" customWidth="1" style="48" min="5" max="10"/>
    <col width="10" customWidth="1" style="48" min="11" max="11"/>
    <col width="46" customWidth="1" style="48" min="12" max="12"/>
    <col width="8.710000000000001" customWidth="1" style="48" min="13" max="26"/>
  </cols>
  <sheetData>
    <row r="2">
      <c r="B2" s="1" t="inlineStr">
        <is>
          <t>TCO на 5 лет — Africa Delivery, вариант B — сервисы вокруг заказа</t>
        </is>
      </c>
    </row>
    <row r="3">
      <c r="B3" s="6" t="inlineStr">
        <is>
          <t>Целевой SLO варианта: 99.95%. Все числа — оценка архитектора, источники в колонке «Комментарий».</t>
        </is>
      </c>
    </row>
    <row r="5" ht="31.5" customHeight="1" s="48">
      <c r="B5" s="9" t="inlineStr">
        <is>
          <t>Статья затрат</t>
        </is>
      </c>
      <c r="C5" s="9" t="inlineStr">
        <is>
          <t>Драйвер роста</t>
        </is>
      </c>
      <c r="D5" s="9" t="inlineStr">
        <is>
          <t>База, $/год (Год 1)</t>
        </is>
      </c>
      <c r="E5" s="9" t="inlineStr">
        <is>
          <t>Год 1</t>
        </is>
      </c>
      <c r="F5" s="9" t="inlineStr">
        <is>
          <t>Год 2</t>
        </is>
      </c>
      <c r="G5" s="9" t="inlineStr">
        <is>
          <t>Год 3</t>
        </is>
      </c>
      <c r="H5" s="9" t="inlineStr">
        <is>
          <t>Год 4</t>
        </is>
      </c>
      <c r="I5" s="9" t="inlineStr">
        <is>
          <t>Год 5</t>
        </is>
      </c>
      <c r="J5" s="9" t="inlineStr">
        <is>
          <t>Итого 5 лет</t>
        </is>
      </c>
      <c r="K5" s="9" t="inlineStr">
        <is>
          <t>Доля</t>
        </is>
      </c>
      <c r="L5" s="9" t="inlineStr">
        <is>
          <t>Комментарий / источник</t>
        </is>
      </c>
    </row>
    <row r="6">
      <c r="B6" s="7" t="inlineStr">
        <is>
          <t>БЛОК 1. Облачная инфраструктура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1" t="inlineStr">
        <is>
          <t>Compute: ноды / контейнеры</t>
        </is>
      </c>
      <c r="C7" s="17" t="inlineStr">
        <is>
          <t>пользователи</t>
        </is>
      </c>
      <c r="D7" s="18" t="n">
        <v>6600</v>
      </c>
      <c r="E7" s="23" t="n">
        <v>6600</v>
      </c>
      <c r="F7" s="23" t="n">
        <v>26400</v>
      </c>
      <c r="G7" s="23" t="n">
        <v>66000</v>
      </c>
      <c r="H7" s="23" t="n">
        <v>110000</v>
      </c>
      <c r="I7" s="23" t="n">
        <v>154000</v>
      </c>
      <c r="J7" s="23" t="n">
        <v>363000</v>
      </c>
      <c r="K7" s="24" t="n"/>
      <c r="L7" s="25" t="inlineStr">
        <is>
          <t>9-10 сервисов x 2 реплики (CN.SEL.01)</t>
        </is>
      </c>
    </row>
    <row r="8">
      <c r="B8" s="11" t="inlineStr">
        <is>
          <t>Управляемые БД (2 инстанса PostgreSQL)</t>
        </is>
      </c>
      <c r="C8" s="17" t="inlineStr">
        <is>
          <t>пользователи</t>
        </is>
      </c>
      <c r="D8" s="18" t="n">
        <v>7200</v>
      </c>
      <c r="E8" s="23" t="n">
        <v>7200</v>
      </c>
      <c r="F8" s="23" t="n">
        <v>28800</v>
      </c>
      <c r="G8" s="23" t="n">
        <v>72000</v>
      </c>
      <c r="H8" s="23" t="n">
        <v>120000</v>
      </c>
      <c r="I8" s="23" t="n">
        <v>168000</v>
      </c>
      <c r="J8" s="23" t="n">
        <v>396000</v>
      </c>
      <c r="K8" s="24" t="n"/>
      <c r="L8" s="25" t="inlineStr">
        <is>
          <t>БД на сервис</t>
        </is>
      </c>
    </row>
    <row r="9">
      <c r="B9" s="11" t="inlineStr">
        <is>
          <t>Очереди / стриминг (managed Kafka)</t>
        </is>
      </c>
      <c r="C9" s="17" t="inlineStr">
        <is>
          <t>пользователи</t>
        </is>
      </c>
      <c r="D9" s="18" t="n">
        <v>4200</v>
      </c>
      <c r="E9" s="23" t="n">
        <v>4200</v>
      </c>
      <c r="F9" s="23" t="n">
        <v>16800</v>
      </c>
      <c r="G9" s="23" t="n">
        <v>42000</v>
      </c>
      <c r="H9" s="23" t="n">
        <v>70000</v>
      </c>
      <c r="I9" s="23" t="n">
        <v>98000</v>
      </c>
      <c r="J9" s="23" t="n">
        <v>231000</v>
      </c>
      <c r="K9" s="24" t="n"/>
      <c r="L9" s="25" t="inlineStr">
        <is>
          <t>шина событий</t>
        </is>
      </c>
    </row>
    <row r="10">
      <c r="B10" s="11" t="inlineStr">
        <is>
          <t>Аналитическое хранилище (ClickHouse)</t>
        </is>
      </c>
      <c r="C10" s="17" t="inlineStr">
        <is>
          <t>пользователи</t>
        </is>
      </c>
      <c r="D10" s="18" t="n">
        <v>3000</v>
      </c>
      <c r="E10" s="23" t="n">
        <v>3000</v>
      </c>
      <c r="F10" s="23" t="n">
        <v>12000</v>
      </c>
      <c r="G10" s="23" t="n">
        <v>30000</v>
      </c>
      <c r="H10" s="23" t="n">
        <v>50000</v>
      </c>
      <c r="I10" s="23" t="n">
        <v>70000</v>
      </c>
      <c r="J10" s="23" t="n">
        <v>165000</v>
      </c>
      <c r="K10" s="24" t="n"/>
      <c r="L10" s="25" t="inlineStr">
        <is>
          <t>дашборд с обновлением раз в минуту</t>
        </is>
      </c>
    </row>
    <row r="11">
      <c r="B11" s="11" t="inlineStr">
        <is>
          <t>Хранилище объектов и CDN</t>
        </is>
      </c>
      <c r="C11" s="17" t="inlineStr">
        <is>
          <t>пользователи</t>
        </is>
      </c>
      <c r="D11" s="18" t="n">
        <v>2400</v>
      </c>
      <c r="E11" s="23" t="n">
        <v>2400</v>
      </c>
      <c r="F11" s="23" t="n">
        <v>9600</v>
      </c>
      <c r="G11" s="23" t="n">
        <v>24000</v>
      </c>
      <c r="H11" s="23" t="n">
        <v>40000</v>
      </c>
      <c r="I11" s="23" t="n">
        <v>56000</v>
      </c>
      <c r="J11" s="23" t="n">
        <v>132000</v>
      </c>
      <c r="K11" s="24" t="n"/>
      <c r="L11" s="25" t="inlineStr"/>
    </row>
    <row r="12">
      <c r="B12" s="11" t="inlineStr">
        <is>
          <t>Резервный регион / DR</t>
        </is>
      </c>
      <c r="C12" s="17" t="inlineStr">
        <is>
          <t>пользователи</t>
        </is>
      </c>
      <c r="D12" s="18" t="n">
        <v>1800</v>
      </c>
      <c r="E12" s="23" t="n">
        <v>1800</v>
      </c>
      <c r="F12" s="23" t="n">
        <v>7200</v>
      </c>
      <c r="G12" s="23" t="n">
        <v>18000</v>
      </c>
      <c r="H12" s="23" t="n">
        <v>30000</v>
      </c>
      <c r="I12" s="23" t="n">
        <v>42000</v>
      </c>
      <c r="J12" s="23" t="n">
        <v>99000</v>
      </c>
      <c r="K12" s="24" t="n"/>
      <c r="L12" s="25" t="inlineStr"/>
    </row>
    <row r="13">
      <c r="B13" s="11" t="inlineStr">
        <is>
          <t>Локальное размещение данных (NDPR, Нигерия)</t>
        </is>
      </c>
      <c r="C13" s="17" t="inlineStr">
        <is>
          <t>инфляция</t>
        </is>
      </c>
      <c r="D13" s="18" t="n">
        <v>4800</v>
      </c>
      <c r="E13" s="23" t="n">
        <v>4800</v>
      </c>
      <c r="F13" s="23" t="n">
        <v>5184</v>
      </c>
      <c r="G13" s="23" t="n">
        <v>5598.72</v>
      </c>
      <c r="H13" s="23" t="n">
        <v>6046.62</v>
      </c>
      <c r="I13" s="23" t="n">
        <v>6530.35</v>
      </c>
      <c r="J13" s="23" t="n">
        <v>28159.68</v>
      </c>
      <c r="K13" s="24" t="n"/>
      <c r="L13" s="25" t="inlineStr"/>
    </row>
    <row r="14">
      <c r="B14" s="11" t="inlineStr">
        <is>
          <t>Сеть, балансировщик, DNS, WAF</t>
        </is>
      </c>
      <c r="C14" s="17" t="inlineStr">
        <is>
          <t>инфляция</t>
        </is>
      </c>
      <c r="D14" s="18" t="n">
        <v>3600</v>
      </c>
      <c r="E14" s="23" t="n">
        <v>3600</v>
      </c>
      <c r="F14" s="23" t="n">
        <v>3888</v>
      </c>
      <c r="G14" s="23" t="n">
        <v>4199.04</v>
      </c>
      <c r="H14" s="23" t="n">
        <v>4534.96</v>
      </c>
      <c r="I14" s="23" t="n">
        <v>4897.76</v>
      </c>
      <c r="J14" s="23" t="n">
        <v>21119.76</v>
      </c>
      <c r="K14" s="24" t="n"/>
      <c r="L14" s="25" t="inlineStr"/>
    </row>
    <row r="15">
      <c r="B15" s="26" t="inlineStr">
        <is>
          <t>Итого по блоку</t>
        </is>
      </c>
      <c r="C15" s="27" t="n"/>
      <c r="D15" s="27" t="n"/>
      <c r="E15" s="28" t="n">
        <v>33600</v>
      </c>
      <c r="F15" s="28" t="n">
        <v>109872</v>
      </c>
      <c r="G15" s="28" t="n">
        <v>261797.76</v>
      </c>
      <c r="H15" s="28" t="n">
        <v>430581.58</v>
      </c>
      <c r="I15" s="28" t="n">
        <v>599428.11</v>
      </c>
      <c r="J15" s="28" t="n">
        <v>1435279.45</v>
      </c>
      <c r="K15" s="29">
        <f>IFERROR(J15/$J$51,0)</f>
        <v/>
      </c>
      <c r="L15" s="27" t="n"/>
    </row>
    <row r="16">
      <c r="C16" s="30" t="n"/>
    </row>
    <row r="17">
      <c r="B17" s="7" t="inlineStr">
        <is>
          <t>БЛОК 2. Лицензии, SaaS и инструменты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1" t="inlineStr">
        <is>
          <t>Observability (метрики, логи, трейсинг)</t>
        </is>
      </c>
      <c r="C18" s="17" t="inlineStr">
        <is>
          <t>пользователи</t>
        </is>
      </c>
      <c r="D18" s="18" t="n">
        <v>6000</v>
      </c>
      <c r="E18" s="23" t="n">
        <v>6000</v>
      </c>
      <c r="F18" s="23" t="n">
        <v>24000</v>
      </c>
      <c r="G18" s="23" t="n">
        <v>60000</v>
      </c>
      <c r="H18" s="23" t="n">
        <v>100000</v>
      </c>
      <c r="I18" s="23" t="n">
        <v>140000</v>
      </c>
      <c r="J18" s="23" t="n">
        <v>330000</v>
      </c>
      <c r="K18" s="24" t="n"/>
      <c r="L18" s="25" t="inlineStr">
        <is>
          <t>10 сервисов: больше метрик и трассировка</t>
        </is>
      </c>
    </row>
    <row r="19">
      <c r="B19" s="11" t="inlineStr">
        <is>
          <t>CI/CD, репозиторий, артефакты</t>
        </is>
      </c>
      <c r="C19" s="17" t="inlineStr">
        <is>
          <t>инфляция</t>
        </is>
      </c>
      <c r="D19" s="18" t="n">
        <v>1800</v>
      </c>
      <c r="E19" s="23" t="n">
        <v>1800</v>
      </c>
      <c r="F19" s="23" t="n">
        <v>1944</v>
      </c>
      <c r="G19" s="23" t="n">
        <v>2099.52</v>
      </c>
      <c r="H19" s="23" t="n">
        <v>2267.48</v>
      </c>
      <c r="I19" s="23" t="n">
        <v>2448.88</v>
      </c>
      <c r="J19" s="23" t="n">
        <v>10559.88</v>
      </c>
      <c r="K19" s="24" t="n"/>
      <c r="L19" s="25" t="inlineStr">
        <is>
          <t>пайплайн на сервис</t>
        </is>
      </c>
    </row>
    <row r="20">
      <c r="B20" s="11" t="inlineStr">
        <is>
          <t>Безопасность: секреты, сканеры</t>
        </is>
      </c>
      <c r="C20" s="17" t="inlineStr">
        <is>
          <t>пользователи</t>
        </is>
      </c>
      <c r="D20" s="18" t="n">
        <v>3000</v>
      </c>
      <c r="E20" s="23" t="n">
        <v>3000</v>
      </c>
      <c r="F20" s="23" t="n">
        <v>12000</v>
      </c>
      <c r="G20" s="23" t="n">
        <v>30000</v>
      </c>
      <c r="H20" s="23" t="n">
        <v>50000</v>
      </c>
      <c r="I20" s="23" t="n">
        <v>70000</v>
      </c>
      <c r="J20" s="23" t="n">
        <v>165000</v>
      </c>
      <c r="K20" s="24" t="n"/>
      <c r="L20" s="25" t="inlineStr"/>
    </row>
    <row r="21" ht="15.75" customHeight="1" s="48">
      <c r="B21" s="11" t="inlineStr">
        <is>
          <t>WhatsApp Business API (подписка)</t>
        </is>
      </c>
      <c r="C21" s="17" t="inlineStr">
        <is>
          <t>инфляция</t>
        </is>
      </c>
      <c r="D21" s="18" t="n">
        <v>3000</v>
      </c>
      <c r="E21" s="23" t="n">
        <v>3000</v>
      </c>
      <c r="F21" s="23" t="n">
        <v>3240</v>
      </c>
      <c r="G21" s="23" t="n">
        <v>3499.2</v>
      </c>
      <c r="H21" s="23" t="n">
        <v>3779.14</v>
      </c>
      <c r="I21" s="23" t="n">
        <v>4081.47</v>
      </c>
      <c r="J21" s="23" t="n">
        <v>17599.8</v>
      </c>
      <c r="K21" s="24" t="n"/>
      <c r="L21" s="25" t="inlineStr"/>
    </row>
    <row r="22" ht="15.75" customHeight="1" s="48">
      <c r="B22" s="11" t="inlineStr">
        <is>
          <t>Прочее ПО и подписки</t>
        </is>
      </c>
      <c r="C22" s="17" t="inlineStr">
        <is>
          <t>инфляция</t>
        </is>
      </c>
      <c r="D22" s="18" t="n">
        <v>2400</v>
      </c>
      <c r="E22" s="23" t="n">
        <v>2400</v>
      </c>
      <c r="F22" s="23" t="n">
        <v>2592</v>
      </c>
      <c r="G22" s="23" t="n">
        <v>2799.36</v>
      </c>
      <c r="H22" s="23" t="n">
        <v>3023.31</v>
      </c>
      <c r="I22" s="23" t="n">
        <v>3265.17</v>
      </c>
      <c r="J22" s="23" t="n">
        <v>14079.84</v>
      </c>
      <c r="K22" s="24" t="n"/>
      <c r="L22" s="25" t="inlineStr"/>
    </row>
    <row r="23" ht="15.75" customHeight="1" s="48">
      <c r="B23" s="11" t="n"/>
      <c r="C23" s="17" t="n"/>
      <c r="D23" s="18" t="n"/>
      <c r="E23" s="23" t="n"/>
      <c r="F23" s="23" t="n"/>
      <c r="G23" s="23" t="n"/>
      <c r="H23" s="23" t="n"/>
      <c r="I23" s="23" t="n"/>
      <c r="J23" s="23" t="n"/>
      <c r="K23" s="24" t="n"/>
      <c r="L23" s="25" t="n"/>
    </row>
    <row r="24" ht="15.75" customHeight="1" s="48">
      <c r="B24" s="26" t="inlineStr">
        <is>
          <t>Итого по блоку</t>
        </is>
      </c>
      <c r="C24" s="27" t="n"/>
      <c r="D24" s="27" t="n"/>
      <c r="E24" s="28" t="n">
        <v>16200</v>
      </c>
      <c r="F24" s="28" t="n">
        <v>43776</v>
      </c>
      <c r="G24" s="28" t="n">
        <v>98398.08</v>
      </c>
      <c r="H24" s="28" t="n">
        <v>159069.93</v>
      </c>
      <c r="I24" s="28" t="n">
        <v>219795.52</v>
      </c>
      <c r="J24" s="28" t="n">
        <v>537239.53</v>
      </c>
      <c r="K24" s="29">
        <f>IFERROR(J24/$J$51,0)</f>
        <v/>
      </c>
      <c r="L24" s="27" t="n"/>
    </row>
    <row r="25" ht="15.75" customHeight="1" s="48">
      <c r="C25" s="30" t="n"/>
    </row>
    <row r="26" ht="15.75" customHeight="1" s="48">
      <c r="B26" s="7" t="inlineStr">
        <is>
          <t>БЛОК 3. Транзакционные расходы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48">
      <c r="B27" s="11" t="inlineStr">
        <is>
          <t>Комиссии платёжных провайдеров</t>
        </is>
      </c>
      <c r="C27" s="17" t="inlineStr">
        <is>
          <t>GMV</t>
        </is>
      </c>
      <c r="D27" s="18" t="n">
        <v>187500</v>
      </c>
      <c r="E27" s="23" t="n">
        <v>187500</v>
      </c>
      <c r="F27" s="23" t="n">
        <v>1170000</v>
      </c>
      <c r="G27" s="23" t="n">
        <v>4050000</v>
      </c>
      <c r="H27" s="23" t="n">
        <v>8400000</v>
      </c>
      <c r="I27" s="23" t="n">
        <v>13050000</v>
      </c>
      <c r="J27" s="23" t="n">
        <v>26857500</v>
      </c>
      <c r="K27" s="24" t="n"/>
      <c r="L27" s="25" t="inlineStr">
        <is>
          <t>2,5% GMV — верхняя граница CFO (арт. 6)</t>
        </is>
      </c>
    </row>
    <row r="28" ht="15.75" customHeight="1" s="48">
      <c r="B28" s="11" t="inlineStr">
        <is>
          <t>SMS-уведомления</t>
        </is>
      </c>
      <c r="C28" s="17" t="inlineStr">
        <is>
          <t>заказы</t>
        </is>
      </c>
      <c r="D28" s="18" t="n">
        <v>30000</v>
      </c>
      <c r="E28" s="23" t="n">
        <v>30000</v>
      </c>
      <c r="F28" s="23" t="n">
        <v>180000</v>
      </c>
      <c r="G28" s="23" t="n">
        <v>600000</v>
      </c>
      <c r="H28" s="23" t="n">
        <v>1200000</v>
      </c>
      <c r="I28" s="23" t="n">
        <v>1800000</v>
      </c>
      <c r="J28" s="23" t="n">
        <v>3810000</v>
      </c>
      <c r="K28" s="24" t="n"/>
      <c r="L28" s="25" t="inlineStr">
        <is>
          <t>~2,5 SMS на заказ x $0,04</t>
        </is>
      </c>
    </row>
    <row r="29" ht="15.75" customHeight="1" s="48">
      <c r="B29" s="11" t="inlineStr">
        <is>
          <t>WhatsApp-сообщения (за диалог)</t>
        </is>
      </c>
      <c r="C29" s="17" t="inlineStr">
        <is>
          <t>заказы</t>
        </is>
      </c>
      <c r="D29" s="18" t="n">
        <v>9000</v>
      </c>
      <c r="E29" s="23" t="n">
        <v>9000</v>
      </c>
      <c r="F29" s="23" t="n">
        <v>54000</v>
      </c>
      <c r="G29" s="23" t="n">
        <v>180000</v>
      </c>
      <c r="H29" s="23" t="n">
        <v>360000</v>
      </c>
      <c r="I29" s="23" t="n">
        <v>540000</v>
      </c>
      <c r="J29" s="23" t="n">
        <v>1143000</v>
      </c>
      <c r="K29" s="24" t="n"/>
      <c r="L29" s="25" t="inlineStr">
        <is>
          <t>тариф Meta за conversation</t>
        </is>
      </c>
    </row>
    <row r="30" ht="15.75" customHeight="1" s="48">
      <c r="B30" s="11" t="inlineStr">
        <is>
          <t>Логистика: интеграции и комиссии партнёров</t>
        </is>
      </c>
      <c r="C30" s="17" t="inlineStr">
        <is>
          <t>заказы</t>
        </is>
      </c>
      <c r="D30" s="18" t="n">
        <v>30000</v>
      </c>
      <c r="E30" s="23" t="n">
        <v>30000</v>
      </c>
      <c r="F30" s="23" t="n">
        <v>180000</v>
      </c>
      <c r="G30" s="23" t="n">
        <v>600000</v>
      </c>
      <c r="H30" s="23" t="n">
        <v>1200000</v>
      </c>
      <c r="I30" s="23" t="n">
        <v>1800000</v>
      </c>
      <c r="J30" s="23" t="n">
        <v>3810000</v>
      </c>
      <c r="K30" s="24" t="n"/>
      <c r="L30" s="25" t="inlineStr">
        <is>
          <t>Sendbox (Нигерия), Sendy (Кения)</t>
        </is>
      </c>
    </row>
    <row r="31" ht="15.75" customHeight="1" s="48">
      <c r="B31" s="11" t="n"/>
      <c r="C31" s="17" t="n"/>
      <c r="D31" s="18" t="n"/>
      <c r="E31" s="23" t="n"/>
      <c r="F31" s="23" t="n"/>
      <c r="G31" s="23" t="n"/>
      <c r="H31" s="23" t="n"/>
      <c r="I31" s="23" t="n"/>
      <c r="J31" s="23" t="n"/>
      <c r="K31" s="24" t="n"/>
      <c r="L31" s="25" t="n"/>
    </row>
    <row r="32" ht="15.75" customHeight="1" s="48">
      <c r="B32" s="26" t="inlineStr">
        <is>
          <t>Итого по блоку</t>
        </is>
      </c>
      <c r="C32" s="27" t="n"/>
      <c r="D32" s="27" t="n"/>
      <c r="E32" s="28" t="n">
        <v>256500</v>
      </c>
      <c r="F32" s="28" t="n">
        <v>1584000</v>
      </c>
      <c r="G32" s="28" t="n">
        <v>5430000</v>
      </c>
      <c r="H32" s="28" t="n">
        <v>11160000</v>
      </c>
      <c r="I32" s="28" t="n">
        <v>17190000</v>
      </c>
      <c r="J32" s="28" t="n">
        <v>35620500</v>
      </c>
      <c r="K32" s="29">
        <f>IFERROR(J32/$J$51,0)</f>
        <v/>
      </c>
      <c r="L32" s="27" t="n"/>
    </row>
    <row r="33" ht="15.75" customHeight="1" s="48">
      <c r="C33" s="30" t="n"/>
    </row>
    <row r="34" ht="15.75" customHeight="1" s="48">
      <c r="B34" s="7" t="inlineStr">
        <is>
          <t>БЛОК 4. Команда (ФОТ)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48">
      <c r="B35" s="11" t="inlineStr">
        <is>
          <t>Разработка (5 FTE x $60k)</t>
        </is>
      </c>
      <c r="C35" s="17" t="inlineStr">
        <is>
          <t>ФОТ</t>
        </is>
      </c>
      <c r="D35" s="18" t="n">
        <v>300000</v>
      </c>
      <c r="E35" s="23" t="n">
        <v>300000</v>
      </c>
      <c r="F35" s="23" t="n">
        <v>336000</v>
      </c>
      <c r="G35" s="23" t="n">
        <v>376320</v>
      </c>
      <c r="H35" s="23" t="n">
        <v>421478.4</v>
      </c>
      <c r="I35" s="23" t="n">
        <v>472055.81</v>
      </c>
      <c r="J35" s="23" t="n">
        <v>1905854.21</v>
      </c>
      <c r="K35" s="24" t="n"/>
      <c r="L35" s="25" t="inlineStr">
        <is>
          <t>+1 к имеющимся шести</t>
        </is>
      </c>
    </row>
    <row r="36" ht="15.75" customHeight="1" s="48">
      <c r="B36" s="11" t="inlineStr">
        <is>
          <t>DevOps / SRE (2 FTE x $70k)</t>
        </is>
      </c>
      <c r="C36" s="17" t="inlineStr">
        <is>
          <t>ФОТ</t>
        </is>
      </c>
      <c r="D36" s="18" t="n">
        <v>140000</v>
      </c>
      <c r="E36" s="23" t="n">
        <v>140000</v>
      </c>
      <c r="F36" s="23" t="n">
        <v>156800</v>
      </c>
      <c r="G36" s="23" t="n">
        <v>175616</v>
      </c>
      <c r="H36" s="23" t="n">
        <v>196689.92</v>
      </c>
      <c r="I36" s="23" t="n">
        <v>220292.71</v>
      </c>
      <c r="J36" s="23" t="n">
        <v>889398.63</v>
      </c>
      <c r="K36" s="24" t="n"/>
      <c r="L36" s="25" t="inlineStr">
        <is>
          <t>K8s, Kafka, ClickHouse</t>
        </is>
      </c>
    </row>
    <row r="37" ht="15.75" customHeight="1" s="48">
      <c r="B37" s="11" t="inlineStr">
        <is>
          <t>Поддержка и дежурства (1 FTE)</t>
        </is>
      </c>
      <c r="C37" s="17" t="inlineStr">
        <is>
          <t>ФОТ</t>
        </is>
      </c>
      <c r="D37" s="18" t="n">
        <v>70000</v>
      </c>
      <c r="E37" s="23" t="n">
        <v>70000</v>
      </c>
      <c r="F37" s="23" t="n">
        <v>78400</v>
      </c>
      <c r="G37" s="23" t="n">
        <v>87808</v>
      </c>
      <c r="H37" s="23" t="n">
        <v>98344.96000000001</v>
      </c>
      <c r="I37" s="23" t="n">
        <v>110146.36</v>
      </c>
      <c r="J37" s="23" t="n">
        <v>444699.32</v>
      </c>
      <c r="K37" s="24" t="n"/>
      <c r="L37" s="25" t="inlineStr"/>
    </row>
    <row r="38" ht="15.75" customHeight="1" s="48">
      <c r="B38" s="11" t="inlineStr">
        <is>
          <t>Архитектура и менеджмент</t>
        </is>
      </c>
      <c r="C38" s="17" t="inlineStr">
        <is>
          <t>ФОТ</t>
        </is>
      </c>
      <c r="D38" s="18" t="n">
        <v>150000</v>
      </c>
      <c r="E38" s="23" t="n">
        <v>150000</v>
      </c>
      <c r="F38" s="23" t="n">
        <v>168000</v>
      </c>
      <c r="G38" s="23" t="n">
        <v>188160</v>
      </c>
      <c r="H38" s="23" t="n">
        <v>210739.2</v>
      </c>
      <c r="I38" s="23" t="n">
        <v>236027.9</v>
      </c>
      <c r="J38" s="23" t="n">
        <v>952927.1</v>
      </c>
      <c r="K38" s="24" t="n"/>
      <c r="L38" s="25" t="inlineStr"/>
    </row>
    <row r="39" ht="15.75" customHeight="1" s="48">
      <c r="B39" s="11" t="n"/>
      <c r="C39" s="17" t="n"/>
      <c r="D39" s="18" t="n"/>
      <c r="E39" s="23" t="n"/>
      <c r="F39" s="23" t="n"/>
      <c r="G39" s="23" t="n"/>
      <c r="H39" s="23" t="n"/>
      <c r="I39" s="23" t="n"/>
      <c r="J39" s="23" t="n"/>
      <c r="K39" s="24" t="n"/>
      <c r="L39" s="25" t="n"/>
    </row>
    <row r="40" ht="15.75" customHeight="1" s="48">
      <c r="B40" s="26" t="inlineStr">
        <is>
          <t>Итого по блоку</t>
        </is>
      </c>
      <c r="C40" s="27" t="n"/>
      <c r="D40" s="27" t="n"/>
      <c r="E40" s="28" t="n">
        <v>660000</v>
      </c>
      <c r="F40" s="28" t="n">
        <v>739200</v>
      </c>
      <c r="G40" s="28" t="n">
        <v>827904</v>
      </c>
      <c r="H40" s="28" t="n">
        <v>927252.48</v>
      </c>
      <c r="I40" s="28" t="n">
        <v>1038522.78</v>
      </c>
      <c r="J40" s="28" t="n">
        <v>4192879.26</v>
      </c>
      <c r="K40" s="29">
        <f>IFERROR(J40/$J$51,0)</f>
        <v/>
      </c>
      <c r="L40" s="27" t="n"/>
    </row>
    <row r="41" ht="15.75" customHeight="1" s="48">
      <c r="C41" s="30" t="n"/>
    </row>
    <row r="42" ht="15.75" customHeight="1" s="48">
      <c r="B42" s="7" t="inlineStr">
        <is>
          <t>БЛОК 5. Разовые затраты и комплаенс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48">
      <c r="B43" s="11" t="inlineStr">
        <is>
          <t>Юридический и комплаенс-аудит (NDPR, POPIA, KICA)</t>
        </is>
      </c>
      <c r="C43" s="17" t="inlineStr">
        <is>
          <t>фикс</t>
        </is>
      </c>
      <c r="D43" s="18" t="n">
        <v>25000</v>
      </c>
      <c r="E43" s="23" t="n">
        <v>25000</v>
      </c>
      <c r="F43" s="23" t="n">
        <v>0</v>
      </c>
      <c r="G43" s="23" t="n">
        <v>25000</v>
      </c>
      <c r="H43" s="23" t="n">
        <v>0</v>
      </c>
      <c r="I43" s="23" t="n">
        <v>0</v>
      </c>
      <c r="J43" s="23" t="n">
        <v>50000</v>
      </c>
      <c r="K43" s="24" t="n"/>
      <c r="L43" s="25" t="inlineStr">
        <is>
          <t>Год 1 — Нигерия и Кения, Год 3 — ЮАР</t>
        </is>
      </c>
    </row>
    <row r="44" ht="15.75" customHeight="1" s="48">
      <c r="B44" s="11" t="inlineStr">
        <is>
          <t>Пентест и аудит безопасности</t>
        </is>
      </c>
      <c r="C44" s="17" t="inlineStr">
        <is>
          <t>инфляция</t>
        </is>
      </c>
      <c r="D44" s="18" t="n">
        <v>15000</v>
      </c>
      <c r="E44" s="23" t="n">
        <v>15000</v>
      </c>
      <c r="F44" s="23" t="n">
        <v>16200</v>
      </c>
      <c r="G44" s="23" t="n">
        <v>17496</v>
      </c>
      <c r="H44" s="23" t="n">
        <v>18895.68</v>
      </c>
      <c r="I44" s="23" t="n">
        <v>20407.33</v>
      </c>
      <c r="J44" s="23" t="n">
        <v>87999.00999999999</v>
      </c>
      <c r="K44" s="24" t="n"/>
      <c r="L44" s="25" t="inlineStr">
        <is>
          <t>ежегодно</t>
        </is>
      </c>
    </row>
    <row r="45" ht="15.75" customHeight="1" s="48">
      <c r="B45" s="11" t="inlineStr">
        <is>
          <t>Миграция данных и интеграции при запуске</t>
        </is>
      </c>
      <c r="C45" s="17" t="inlineStr">
        <is>
          <t>фикс</t>
        </is>
      </c>
      <c r="D45" s="18" t="n">
        <v>20000</v>
      </c>
      <c r="E45" s="23" t="n">
        <v>20000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20000</v>
      </c>
      <c r="K45" s="24" t="n"/>
      <c r="L45" s="25" t="inlineStr"/>
    </row>
    <row r="46" ht="15.75" customHeight="1" s="48">
      <c r="B46" s="11" t="inlineStr">
        <is>
          <t>Обучение команды и найм</t>
        </is>
      </c>
      <c r="C46" s="17" t="inlineStr">
        <is>
          <t>фикс</t>
        </is>
      </c>
      <c r="D46" s="18" t="n">
        <v>45000</v>
      </c>
      <c r="E46" s="23" t="n">
        <v>45000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45000</v>
      </c>
      <c r="K46" s="24" t="n"/>
      <c r="L46" s="25" t="inlineStr">
        <is>
          <t>+3 человека</t>
        </is>
      </c>
    </row>
    <row r="47" ht="15.75" customHeight="1" s="48">
      <c r="B47" s="11" t="n"/>
      <c r="C47" s="17" t="n"/>
      <c r="D47" s="18" t="n"/>
      <c r="E47" s="23" t="n"/>
      <c r="F47" s="23" t="n"/>
      <c r="G47" s="23" t="n"/>
      <c r="H47" s="23" t="n"/>
      <c r="I47" s="23" t="n"/>
      <c r="J47" s="23" t="n"/>
      <c r="K47" s="24" t="n"/>
      <c r="L47" s="25" t="n"/>
    </row>
    <row r="48" ht="15.75" customHeight="1" s="48">
      <c r="B48" s="26" t="inlineStr">
        <is>
          <t>Итого по блоку</t>
        </is>
      </c>
      <c r="C48" s="27" t="n"/>
      <c r="D48" s="27" t="n"/>
      <c r="E48" s="28" t="n">
        <v>105000</v>
      </c>
      <c r="F48" s="28" t="n">
        <v>16200</v>
      </c>
      <c r="G48" s="28" t="n">
        <v>42496</v>
      </c>
      <c r="H48" s="28" t="n">
        <v>18895.68</v>
      </c>
      <c r="I48" s="28" t="n">
        <v>20407.33</v>
      </c>
      <c r="J48" s="28" t="n">
        <v>202999.01</v>
      </c>
      <c r="K48" s="29">
        <f>IFERROR(J48/$J$51,0)</f>
        <v/>
      </c>
      <c r="L48" s="27" t="n"/>
    </row>
    <row r="49" ht="15.75" customHeight="1" s="48">
      <c r="C49" s="30" t="n"/>
    </row>
    <row r="50" ht="15.75" customHeight="1" s="48">
      <c r="B50" s="15" t="inlineStr">
        <is>
          <t>Резерв на непредвиденное (contingency)</t>
        </is>
      </c>
      <c r="C50" s="30" t="n"/>
      <c r="E50" s="31">
        <f>(E15+E24+E32+E40+E48)*'Допущения'!$C$17</f>
        <v/>
      </c>
      <c r="F50" s="31">
        <f>(F15+F24+F32+F40+F48)*'Допущения'!$C$17</f>
        <v/>
      </c>
      <c r="G50" s="31">
        <f>(G15+G24+G32+G40+G48)*'Допущения'!$C$17</f>
        <v/>
      </c>
      <c r="H50" s="31">
        <f>(H15+H24+H32+H40+H48)*'Допущения'!$C$17</f>
        <v/>
      </c>
      <c r="I50" s="31">
        <f>(I15+I24+I32+I40+I48)*'Допущения'!$C$17</f>
        <v/>
      </c>
      <c r="J50" s="23" t="n">
        <v>6298334.59</v>
      </c>
      <c r="L50" s="6" t="inlineStr">
        <is>
          <t>Расчёт: сумма блоков 1–5 × ставка резерва с листа «Допущения»</t>
        </is>
      </c>
    </row>
    <row r="51" ht="15.75" customHeight="1" s="48">
      <c r="B51" s="26" t="inlineStr">
        <is>
          <t>ИТОГО прямые затраты (TCO без учёта простоев)</t>
        </is>
      </c>
      <c r="C51" s="30" t="n"/>
      <c r="E51" s="28" t="n">
        <v>1231995</v>
      </c>
      <c r="F51" s="28" t="n">
        <v>2867005.2</v>
      </c>
      <c r="G51" s="28" t="n">
        <v>7659685.22</v>
      </c>
      <c r="H51" s="28" t="n">
        <v>14600169.62</v>
      </c>
      <c r="I51" s="28" t="n">
        <v>21928376.8</v>
      </c>
      <c r="J51" s="28" t="n">
        <v>48287231.83</v>
      </c>
    </row>
    <row r="52" ht="15.75" customHeight="1" s="48">
      <c r="B52" s="7" t="inlineStr">
        <is>
          <t>БЛОК 6. Стоимость недоступности (риск)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48">
      <c r="B53" s="11" t="inlineStr">
        <is>
          <t>Ожидаемые потери из-за простоя (от выручки года)</t>
        </is>
      </c>
      <c r="E53" s="31" t="n">
        <v>5625</v>
      </c>
      <c r="F53" s="31" t="n">
        <v>35100</v>
      </c>
      <c r="G53" s="31" t="n">
        <v>121500</v>
      </c>
      <c r="H53" s="31" t="n">
        <v>252000</v>
      </c>
      <c r="I53" s="31" t="n">
        <v>391500</v>
      </c>
      <c r="J53" s="23" t="n">
        <v>805725</v>
      </c>
      <c r="L53" s="13" t="inlineStr">
        <is>
          <t>SLO 99.95% = 263 мин/год. Потери = минуты x выручка в минуту соответствующего года x 1,5 (поправка на пиковый характер отказов). Ставка $12 000/мин не применяется: см. комментарий к C19 на листе «Допущения»</t>
        </is>
      </c>
    </row>
    <row r="54" ht="15.75" customHeight="1" s="48">
      <c r="B54" s="26" t="inlineStr">
        <is>
          <t>ИТОГО TCO с учётом стоимости простоя</t>
        </is>
      </c>
      <c r="E54" s="28" t="n">
        <v>1237620</v>
      </c>
      <c r="F54" s="28" t="n">
        <v>2902105.2</v>
      </c>
      <c r="G54" s="28" t="n">
        <v>7781185.22</v>
      </c>
      <c r="H54" s="28" t="n">
        <v>14852169.62</v>
      </c>
      <c r="I54" s="28" t="n">
        <v>22319876.8</v>
      </c>
      <c r="J54" s="28" t="n">
        <v>49092956.83</v>
      </c>
    </row>
    <row r="55" ht="15.75" customHeight="1" s="48">
      <c r="B55" s="11" t="inlineStr">
        <is>
          <t>Коэффициент дисконтирования</t>
        </is>
      </c>
      <c r="E55" s="32">
        <f>1/(1+'Допущения'!$C$16)^0</f>
        <v/>
      </c>
      <c r="F55" s="32">
        <f>1/(1+'Допущения'!$C$16)^1</f>
        <v/>
      </c>
      <c r="G55" s="32">
        <f>1/(1+'Допущения'!$C$16)^2</f>
        <v/>
      </c>
      <c r="H55" s="32">
        <f>1/(1+'Допущения'!$C$16)^3</f>
        <v/>
      </c>
      <c r="I55" s="32">
        <f>1/(1+'Допущения'!$C$16)^4</f>
        <v/>
      </c>
    </row>
    <row r="56" ht="15.75" customHeight="1" s="48">
      <c r="B56" s="26" t="inlineStr">
        <is>
          <t>Дисконтированный TCO (NPV затрат)</t>
        </is>
      </c>
      <c r="E56" s="28" t="n">
        <v>1237620</v>
      </c>
      <c r="F56" s="28" t="n">
        <v>2418421</v>
      </c>
      <c r="G56" s="28" t="n">
        <v>5403600.84</v>
      </c>
      <c r="H56" s="28" t="n">
        <v>8595005.57</v>
      </c>
      <c r="I56" s="28" t="n">
        <v>10763829.48</v>
      </c>
      <c r="J56" s="28">
        <f>SUM(E56:I56)</f>
        <v/>
      </c>
    </row>
    <row r="57" ht="15.75" customHeight="1" s="48"/>
    <row r="58" ht="15.75" customHeight="1" s="48">
      <c r="B58" s="7" t="inlineStr">
        <is>
          <t>Ключевые метрики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48">
      <c r="B59" s="15" t="inlineStr">
        <is>
          <t>TCO за 5 лет, прямые затраты</t>
        </is>
      </c>
      <c r="E59" s="57">
        <f>J51</f>
        <v/>
      </c>
      <c r="F59" s="58" t="n"/>
      <c r="L59" s="13" t="inlineStr">
        <is>
          <t>Основная цифра для сравнения вариантов в ADR</t>
        </is>
      </c>
    </row>
    <row r="60" ht="15.75" customHeight="1" s="48">
      <c r="B60" s="15" t="inlineStr">
        <is>
          <t>TCO за 5 лет с учётом простоя</t>
        </is>
      </c>
      <c r="E60" s="57">
        <f>J54</f>
        <v/>
      </c>
      <c r="F60" s="58" t="n"/>
      <c r="L60" s="13" t="inlineStr">
        <is>
          <t>Показывает цену недоступности для mission critical</t>
        </is>
      </c>
    </row>
    <row r="61" ht="15.75" customHeight="1" s="48">
      <c r="B61" s="15" t="inlineStr">
        <is>
          <t>NPV затрат за 5 лет</t>
        </is>
      </c>
      <c r="E61" s="57">
        <f>J56</f>
        <v/>
      </c>
      <c r="F61" s="58" t="n"/>
      <c r="L61" s="13" t="inlineStr">
        <is>
          <t>Затраты, приведённые к сегодняшнему дню</t>
        </is>
      </c>
    </row>
    <row r="62" ht="15.75" customHeight="1" s="48">
      <c r="B62" s="15" t="inlineStr">
        <is>
          <t>Средние затраты в год</t>
        </is>
      </c>
      <c r="E62" s="57">
        <f>J51/5</f>
        <v/>
      </c>
      <c r="F62" s="58" t="n"/>
      <c r="L62" s="13" t="inlineStr">
        <is>
          <t>Ориентир для планирования бюджета</t>
        </is>
      </c>
    </row>
    <row r="63" ht="15.75" customHeight="1" s="48">
      <c r="B63" s="15" t="inlineStr">
        <is>
          <t>Облако и SaaS (блоки 1+2), $/мес в Год 1</t>
        </is>
      </c>
      <c r="E63" s="57">
        <f>(E15+E24)/12</f>
        <v/>
      </c>
      <c r="F63" s="58" t="n"/>
      <c r="L63" s="13" t="inlineStr">
        <is>
          <t>CFO включает в лимит вычисления, хранение, БД, CDN, мониторинг и SaaS (арт. 6)</t>
        </is>
      </c>
    </row>
    <row r="64" ht="15.75" customHeight="1" s="48">
      <c r="B64" s="15" t="inlineStr">
        <is>
          <t>Проверка бюджета CFO на Год 1</t>
        </is>
      </c>
      <c r="E64" s="59">
        <f>IF((E15+E24)/12&lt;='Допущения'!$C$18,"В бюджете CFO","ПРЕВЫШЕНИЕ бюджета")</f>
        <v/>
      </c>
      <c r="F64" s="58" t="n"/>
      <c r="L64" s="13" t="inlineStr">
        <is>
          <t>Если превышение — объясни в ADR, чем жертвуешь</t>
        </is>
      </c>
    </row>
    <row r="65" ht="15.75" customHeight="1" s="48">
      <c r="B65" s="15" t="inlineStr">
        <is>
          <t>TCO на 1 заказ за 5 лет</t>
        </is>
      </c>
      <c r="E65" s="60">
        <f>IFERROR(J51/SUM('Допущения'!$C$8:$G$8),0)</f>
        <v/>
      </c>
      <c r="F65" s="58" t="n"/>
      <c r="L65" s="13" t="inlineStr">
        <is>
          <t>Юнит-экономика: сколько ИТ стоит в одном заказе</t>
        </is>
      </c>
    </row>
    <row r="66" ht="15.75" customHeight="1" s="48">
      <c r="B66" s="15" t="inlineStr">
        <is>
          <t>TCO на 1 активного пользователя (Год 5)</t>
        </is>
      </c>
      <c r="E66" s="60">
        <f>IFERROR(I51/'Допущения'!$G$7,0)</f>
        <v/>
      </c>
      <c r="F66" s="58" t="n"/>
      <c r="L66" s="13" t="inlineStr">
        <is>
          <t>Проверка масштабируемости модели</t>
        </is>
      </c>
    </row>
    <row r="67" ht="15.75" customHeight="1" s="48">
      <c r="B67" s="15" t="inlineStr">
        <is>
          <t>Затраты ИТ как доля GMV за 5 лет</t>
        </is>
      </c>
      <c r="E67" s="61">
        <f>IFERROR(J51/SUM('Допущения'!$C$10:$G$10),0)</f>
        <v/>
      </c>
      <c r="F67" s="58" t="n"/>
      <c r="L67" s="13" t="inlineStr">
        <is>
          <t>Здоровый маркетплейс — единицы процентов</t>
        </is>
      </c>
    </row>
    <row r="68" ht="15.75" customHeight="1" s="48">
      <c r="B68" s="15" t="inlineStr">
        <is>
          <t>Доля облачной инфраструктуры в TCO</t>
        </is>
      </c>
      <c r="E68" s="62">
        <f>IFERROR(J15/J51,0)</f>
        <v/>
      </c>
      <c r="F68" s="58" t="n"/>
      <c r="L68" s="13" t="inlineStr">
        <is>
          <t>Обычно меньше, чем ожидают студенты</t>
        </is>
      </c>
    </row>
    <row r="69" ht="15.75" customHeight="1" s="48">
      <c r="B69" s="15" t="inlineStr">
        <is>
          <t>Доля транзакционных расходов в TCO</t>
        </is>
      </c>
      <c r="E69" s="62">
        <f>IFERROR(J32/J51,0)</f>
        <v/>
      </c>
      <c r="F69" s="58" t="n"/>
      <c r="L69" s="13" t="inlineStr">
        <is>
          <t>Растёт быстрее всего вместе с GMV</t>
        </is>
      </c>
    </row>
    <row r="70" ht="15.75" customHeight="1" s="48">
      <c r="B70" s="15" t="inlineStr">
        <is>
          <t>Доля команды (ФОТ) в TCO</t>
        </is>
      </c>
      <c r="E70" s="62">
        <f>IFERROR(J40/J51,0)</f>
        <v/>
      </c>
      <c r="F70" s="58" t="n"/>
      <c r="L70" s="13" t="inlineStr">
        <is>
          <t>Как правило, крупнейшая статья</t>
        </is>
      </c>
    </row>
    <row r="71" ht="15.75" customHeight="1" s="48"/>
    <row r="72" ht="15.75" customHeight="1" s="48">
      <c r="B72" s="39" t="inlineStr">
        <is>
          <t>Вывод для ADR №1</t>
        </is>
      </c>
    </row>
    <row r="73" ht="15" customHeight="1" s="48">
      <c r="B73" s="63" t="inlineStr">
        <is>
          <t>Целевое состояние, не стартовое. Дороже A на $1,4 млн за 5 лет, требует +3 человек и 83% лимита CFO уже в Год 1, а платформенная обвязка съедает весь буфер до 15 октября.</t>
        </is>
      </c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5" t="n"/>
    </row>
    <row r="74" ht="15.75" customHeight="1" s="48">
      <c r="B74" s="66" t="n"/>
      <c r="L74" s="67" t="n"/>
    </row>
    <row r="75" ht="15.75" customHeight="1" s="48">
      <c r="B75" s="68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70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48" min="1" max="1"/>
    <col width="44" customWidth="1" style="48" min="2" max="2"/>
    <col width="16" customWidth="1" style="48" min="3" max="3"/>
    <col width="15" customWidth="1" style="48" min="4" max="4"/>
    <col width="14" customWidth="1" style="48" min="5" max="10"/>
    <col width="10" customWidth="1" style="48" min="11" max="11"/>
    <col width="46" customWidth="1" style="48" min="12" max="12"/>
    <col width="8.710000000000001" customWidth="1" style="48" min="13" max="26"/>
  </cols>
  <sheetData>
    <row r="2">
      <c r="B2" s="1" t="inlineStr">
        <is>
          <t>TCO на 5 лет — Africa Delivery, вариант C — вариант CTO (арт. 5)</t>
        </is>
      </c>
    </row>
    <row r="3">
      <c r="B3" s="6" t="inlineStr">
        <is>
          <t>Целевой SLO варианта: 99.99%. Все числа — оценка архитектора, источники в колонке «Комментарий».</t>
        </is>
      </c>
    </row>
    <row r="5" ht="31.5" customHeight="1" s="48">
      <c r="B5" s="9" t="inlineStr">
        <is>
          <t>Статья затрат</t>
        </is>
      </c>
      <c r="C5" s="9" t="inlineStr">
        <is>
          <t>Драйвер роста</t>
        </is>
      </c>
      <c r="D5" s="9" t="inlineStr">
        <is>
          <t>База, $/год (Год 1)</t>
        </is>
      </c>
      <c r="E5" s="9" t="inlineStr">
        <is>
          <t>Год 1</t>
        </is>
      </c>
      <c r="F5" s="9" t="inlineStr">
        <is>
          <t>Год 2</t>
        </is>
      </c>
      <c r="G5" s="9" t="inlineStr">
        <is>
          <t>Год 3</t>
        </is>
      </c>
      <c r="H5" s="9" t="inlineStr">
        <is>
          <t>Год 4</t>
        </is>
      </c>
      <c r="I5" s="9" t="inlineStr">
        <is>
          <t>Год 5</t>
        </is>
      </c>
      <c r="J5" s="9" t="inlineStr">
        <is>
          <t>Итого 5 лет</t>
        </is>
      </c>
      <c r="K5" s="9" t="inlineStr">
        <is>
          <t>Доля</t>
        </is>
      </c>
      <c r="L5" s="9" t="inlineStr">
        <is>
          <t>Комментарий / источник</t>
        </is>
      </c>
    </row>
    <row r="6">
      <c r="B6" s="7" t="inlineStr">
        <is>
          <t>БЛОК 1. Облачная инфраструктура (OpEx)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B7" s="11" t="inlineStr">
        <is>
          <t>Compute: 2 региона active-active + Istio</t>
        </is>
      </c>
      <c r="C7" s="17" t="inlineStr">
        <is>
          <t>пользователи</t>
        </is>
      </c>
      <c r="D7" s="18" t="n">
        <v>21120</v>
      </c>
      <c r="E7" s="23" t="n">
        <v>21120</v>
      </c>
      <c r="F7" s="23" t="n">
        <v>84480</v>
      </c>
      <c r="G7" s="23" t="n">
        <v>211200</v>
      </c>
      <c r="H7" s="23" t="n">
        <v>352000</v>
      </c>
      <c r="I7" s="23" t="n">
        <v>492800</v>
      </c>
      <c r="J7" s="23" t="n">
        <v>1161600</v>
      </c>
      <c r="K7" s="24" t="n"/>
      <c r="L7" s="25" t="inlineStr">
        <is>
          <t>40-50 сервисов x 2 реплики x 2 региона, +15% на sidecar</t>
        </is>
      </c>
    </row>
    <row r="8">
      <c r="B8" s="11" t="inlineStr">
        <is>
          <t>Ноды под Oracle (self-hosted, 2 региона)</t>
        </is>
      </c>
      <c r="C8" s="17" t="inlineStr">
        <is>
          <t>пользователи</t>
        </is>
      </c>
      <c r="D8" s="18" t="n">
        <v>17520</v>
      </c>
      <c r="E8" s="23" t="n">
        <v>17520</v>
      </c>
      <c r="F8" s="23" t="n">
        <v>70080</v>
      </c>
      <c r="G8" s="23" t="n">
        <v>175200</v>
      </c>
      <c r="H8" s="23" t="n">
        <v>292000</v>
      </c>
      <c r="I8" s="23" t="n">
        <v>408800</v>
      </c>
      <c r="J8" s="23" t="n">
        <v>963600</v>
      </c>
      <c r="K8" s="24" t="n"/>
      <c r="L8" s="25" t="inlineStr">
        <is>
          <t>r6i.2xlarge x2</t>
        </is>
      </c>
    </row>
    <row r="9">
      <c r="B9" s="11" t="inlineStr">
        <is>
          <t>Kafka self-hosted (6 брокеров)</t>
        </is>
      </c>
      <c r="C9" s="17" t="inlineStr">
        <is>
          <t>пользователи</t>
        </is>
      </c>
      <c r="D9" s="18" t="n">
        <v>7200</v>
      </c>
      <c r="E9" s="23" t="n">
        <v>7200</v>
      </c>
      <c r="F9" s="23" t="n">
        <v>28800</v>
      </c>
      <c r="G9" s="23" t="n">
        <v>72000</v>
      </c>
      <c r="H9" s="23" t="n">
        <v>120000</v>
      </c>
      <c r="I9" s="23" t="n">
        <v>168000</v>
      </c>
      <c r="J9" s="23" t="n">
        <v>396000</v>
      </c>
      <c r="K9" s="24" t="n"/>
      <c r="L9" s="25" t="inlineStr">
        <is>
          <t>«никаких managed» — арт. 5</t>
        </is>
      </c>
    </row>
    <row r="10">
      <c r="B10" s="11" t="inlineStr">
        <is>
          <t>Self-hosted стек наблюдаемости</t>
        </is>
      </c>
      <c r="C10" s="17" t="inlineStr">
        <is>
          <t>пользователи</t>
        </is>
      </c>
      <c r="D10" s="18" t="n">
        <v>4800</v>
      </c>
      <c r="E10" s="23" t="n">
        <v>4800</v>
      </c>
      <c r="F10" s="23" t="n">
        <v>19200</v>
      </c>
      <c r="G10" s="23" t="n">
        <v>48000</v>
      </c>
      <c r="H10" s="23" t="n">
        <v>80000</v>
      </c>
      <c r="I10" s="23" t="n">
        <v>112000</v>
      </c>
      <c r="J10" s="23" t="n">
        <v>264000</v>
      </c>
      <c r="K10" s="24" t="n"/>
      <c r="L10" s="25" t="inlineStr">
        <is>
          <t>Prometheus, Loki, Jaeger, Grafana</t>
        </is>
      </c>
    </row>
    <row r="11">
      <c r="B11" s="11" t="inlineStr">
        <is>
          <t>Control plane Kubernetes (2 кластера)</t>
        </is>
      </c>
      <c r="C11" s="17" t="inlineStr">
        <is>
          <t>фикс</t>
        </is>
      </c>
      <c r="D11" s="18" t="n">
        <v>1800</v>
      </c>
      <c r="E11" s="23" t="n">
        <v>1800</v>
      </c>
      <c r="F11" s="23" t="n">
        <v>1800</v>
      </c>
      <c r="G11" s="23" t="n">
        <v>1800</v>
      </c>
      <c r="H11" s="23" t="n">
        <v>1800</v>
      </c>
      <c r="I11" s="23" t="n">
        <v>1800</v>
      </c>
      <c r="J11" s="23" t="n">
        <v>9000</v>
      </c>
      <c r="K11" s="24" t="n"/>
      <c r="L11" s="25" t="inlineStr"/>
    </row>
    <row r="12">
      <c r="B12" s="11" t="inlineStr">
        <is>
          <t>Межрегиональный трафик, DR, RPO=0</t>
        </is>
      </c>
      <c r="C12" s="17" t="inlineStr">
        <is>
          <t>пользователи</t>
        </is>
      </c>
      <c r="D12" s="18" t="n">
        <v>3600</v>
      </c>
      <c r="E12" s="23" t="n">
        <v>3600</v>
      </c>
      <c r="F12" s="23" t="n">
        <v>14400</v>
      </c>
      <c r="G12" s="23" t="n">
        <v>36000</v>
      </c>
      <c r="H12" s="23" t="n">
        <v>60000</v>
      </c>
      <c r="I12" s="23" t="n">
        <v>84000</v>
      </c>
      <c r="J12" s="23" t="n">
        <v>198000</v>
      </c>
      <c r="K12" s="24" t="n"/>
      <c r="L12" s="25" t="inlineStr">
        <is>
          <t>синхронная репликация</t>
        </is>
      </c>
    </row>
    <row r="13">
      <c r="B13" s="11" t="inlineStr">
        <is>
          <t>On-prem кластер в Нигерии</t>
        </is>
      </c>
      <c r="C13" s="17" t="inlineStr">
        <is>
          <t>инфляция</t>
        </is>
      </c>
      <c r="D13" s="18" t="n">
        <v>24000</v>
      </c>
      <c r="E13" s="23" t="n">
        <v>24000</v>
      </c>
      <c r="F13" s="23" t="n">
        <v>25920</v>
      </c>
      <c r="G13" s="23" t="n">
        <v>27993.6</v>
      </c>
      <c r="H13" s="23" t="n">
        <v>30233.09</v>
      </c>
      <c r="I13" s="23" t="n">
        <v>32651.74</v>
      </c>
      <c r="J13" s="23" t="n">
        <v>140798.42</v>
      </c>
      <c r="K13" s="24" t="n"/>
      <c r="L13" s="25" t="inlineStr">
        <is>
          <t>колокация + железо в помесячном пересчёте; CFO запрещает capex</t>
        </is>
      </c>
    </row>
    <row r="14">
      <c r="B14" s="11" t="inlineStr">
        <is>
          <t>Хранилище объектов и CDN</t>
        </is>
      </c>
      <c r="C14" s="17" t="inlineStr">
        <is>
          <t>пользователи</t>
        </is>
      </c>
      <c r="D14" s="18" t="n">
        <v>2400</v>
      </c>
      <c r="E14" s="23" t="n">
        <v>2400</v>
      </c>
      <c r="F14" s="23" t="n">
        <v>9600</v>
      </c>
      <c r="G14" s="23" t="n">
        <v>24000</v>
      </c>
      <c r="H14" s="23" t="n">
        <v>40000</v>
      </c>
      <c r="I14" s="23" t="n">
        <v>56000</v>
      </c>
      <c r="J14" s="23" t="n">
        <v>132000</v>
      </c>
      <c r="K14" s="24" t="n"/>
      <c r="L14" s="25" t="inlineStr"/>
    </row>
    <row r="15">
      <c r="B15" s="26" t="inlineStr">
        <is>
          <t>Итого по блоку</t>
        </is>
      </c>
      <c r="C15" s="27" t="n"/>
      <c r="D15" s="27" t="n"/>
      <c r="E15" s="28" t="n">
        <v>82440</v>
      </c>
      <c r="F15" s="28" t="n">
        <v>254280</v>
      </c>
      <c r="G15" s="28" t="n">
        <v>596193.6</v>
      </c>
      <c r="H15" s="28" t="n">
        <v>976033.09</v>
      </c>
      <c r="I15" s="28" t="n">
        <v>1356051.74</v>
      </c>
      <c r="J15" s="28" t="n">
        <v>3264998.42</v>
      </c>
      <c r="K15" s="29">
        <f>IFERROR(J15/$J$51,0)</f>
        <v/>
      </c>
      <c r="L15" s="27" t="n"/>
    </row>
    <row r="16">
      <c r="C16" s="30" t="n"/>
    </row>
    <row r="17">
      <c r="B17" s="7" t="inlineStr">
        <is>
          <t>БЛОК 2. Лицензии, SaaS и инструменты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B18" s="11" t="inlineStr">
        <is>
          <t>Лицензия Oracle EE (2 процессора)</t>
        </is>
      </c>
      <c r="C18" s="17" t="inlineStr">
        <is>
          <t>фикс</t>
        </is>
      </c>
      <c r="D18" s="18" t="n">
        <v>95000</v>
      </c>
      <c r="E18" s="23" t="n">
        <v>95000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95000</v>
      </c>
      <c r="K18" s="24" t="n"/>
      <c r="L18" s="25" t="inlineStr">
        <is>
          <t>прайс-лист Oracle; CFO: лицензии за ядро — отказ (арт. 6)</t>
        </is>
      </c>
    </row>
    <row r="19">
      <c r="B19" s="11" t="inlineStr">
        <is>
          <t>Поддержка Oracle (22% в год)</t>
        </is>
      </c>
      <c r="C19" s="17" t="inlineStr">
        <is>
          <t>инфляция</t>
        </is>
      </c>
      <c r="D19" s="18" t="n">
        <v>20900</v>
      </c>
      <c r="E19" s="23" t="n">
        <v>0</v>
      </c>
      <c r="F19" s="23" t="n">
        <v>22572</v>
      </c>
      <c r="G19" s="23" t="n">
        <v>24377.76</v>
      </c>
      <c r="H19" s="23" t="n">
        <v>26327.98</v>
      </c>
      <c r="I19" s="23" t="n">
        <v>28434.22</v>
      </c>
      <c r="J19" s="23" t="n">
        <v>101711.96</v>
      </c>
      <c r="K19" s="24" t="n"/>
      <c r="L19" s="25" t="inlineStr"/>
    </row>
    <row r="20">
      <c r="B20" s="11" t="inlineStr">
        <is>
          <t>CI/CD, репозиторий, артефакты</t>
        </is>
      </c>
      <c r="C20" s="17" t="inlineStr">
        <is>
          <t>инфляция</t>
        </is>
      </c>
      <c r="D20" s="18" t="n">
        <v>1800</v>
      </c>
      <c r="E20" s="23" t="n">
        <v>1800</v>
      </c>
      <c r="F20" s="23" t="n">
        <v>1944</v>
      </c>
      <c r="G20" s="23" t="n">
        <v>2099.52</v>
      </c>
      <c r="H20" s="23" t="n">
        <v>2267.48</v>
      </c>
      <c r="I20" s="23" t="n">
        <v>2448.88</v>
      </c>
      <c r="J20" s="23" t="n">
        <v>10559.88</v>
      </c>
      <c r="K20" s="24" t="n"/>
      <c r="L20" s="25" t="inlineStr">
        <is>
          <t>GitOps, 40-50 пайплайнов</t>
        </is>
      </c>
    </row>
    <row r="21" ht="15.75" customHeight="1" s="48">
      <c r="B21" s="11" t="inlineStr">
        <is>
          <t>Безопасность: секреты, сканеры</t>
        </is>
      </c>
      <c r="C21" s="17" t="inlineStr">
        <is>
          <t>пользователи</t>
        </is>
      </c>
      <c r="D21" s="18" t="n">
        <v>3000</v>
      </c>
      <c r="E21" s="23" t="n">
        <v>3000</v>
      </c>
      <c r="F21" s="23" t="n">
        <v>12000</v>
      </c>
      <c r="G21" s="23" t="n">
        <v>30000</v>
      </c>
      <c r="H21" s="23" t="n">
        <v>50000</v>
      </c>
      <c r="I21" s="23" t="n">
        <v>70000</v>
      </c>
      <c r="J21" s="23" t="n">
        <v>165000</v>
      </c>
      <c r="K21" s="24" t="n"/>
      <c r="L21" s="25" t="inlineStr"/>
    </row>
    <row r="22" ht="15.75" customHeight="1" s="48">
      <c r="B22" s="11" t="inlineStr">
        <is>
          <t>WhatsApp Business API (подписка)</t>
        </is>
      </c>
      <c r="C22" s="17" t="inlineStr">
        <is>
          <t>инфляция</t>
        </is>
      </c>
      <c r="D22" s="18" t="n">
        <v>3000</v>
      </c>
      <c r="E22" s="23" t="n">
        <v>3000</v>
      </c>
      <c r="F22" s="23" t="n">
        <v>3240</v>
      </c>
      <c r="G22" s="23" t="n">
        <v>3499.2</v>
      </c>
      <c r="H22" s="23" t="n">
        <v>3779.14</v>
      </c>
      <c r="I22" s="23" t="n">
        <v>4081.47</v>
      </c>
      <c r="J22" s="23" t="n">
        <v>17599.8</v>
      </c>
      <c r="K22" s="24" t="n"/>
      <c r="L22" s="25" t="inlineStr"/>
    </row>
    <row r="23" ht="15.75" customHeight="1" s="48">
      <c r="B23" s="11" t="inlineStr">
        <is>
          <t>Прочее ПО и подписки</t>
        </is>
      </c>
      <c r="C23" s="17" t="inlineStr">
        <is>
          <t>инфляция</t>
        </is>
      </c>
      <c r="D23" s="18" t="n">
        <v>2400</v>
      </c>
      <c r="E23" s="23" t="n">
        <v>2400</v>
      </c>
      <c r="F23" s="23" t="n">
        <v>2592</v>
      </c>
      <c r="G23" s="23" t="n">
        <v>2799.36</v>
      </c>
      <c r="H23" s="23" t="n">
        <v>3023.31</v>
      </c>
      <c r="I23" s="23" t="n">
        <v>3265.17</v>
      </c>
      <c r="J23" s="23" t="n">
        <v>14079.84</v>
      </c>
      <c r="K23" s="24" t="n"/>
      <c r="L23" s="25" t="inlineStr"/>
    </row>
    <row r="24" ht="15.75" customHeight="1" s="48">
      <c r="B24" s="26" t="inlineStr">
        <is>
          <t>Итого по блоку</t>
        </is>
      </c>
      <c r="C24" s="27" t="n"/>
      <c r="D24" s="27" t="n"/>
      <c r="E24" s="28" t="n">
        <v>105200</v>
      </c>
      <c r="F24" s="28" t="n">
        <v>42348</v>
      </c>
      <c r="G24" s="28" t="n">
        <v>62775.84</v>
      </c>
      <c r="H24" s="28" t="n">
        <v>85397.91</v>
      </c>
      <c r="I24" s="28" t="n">
        <v>108229.74</v>
      </c>
      <c r="J24" s="28" t="n">
        <v>403951.49</v>
      </c>
      <c r="K24" s="29">
        <f>IFERROR(J24/$J$51,0)</f>
        <v/>
      </c>
      <c r="L24" s="27" t="n"/>
    </row>
    <row r="25" ht="15.75" customHeight="1" s="48">
      <c r="C25" s="30" t="n"/>
    </row>
    <row r="26" ht="15.75" customHeight="1" s="48">
      <c r="B26" s="7" t="inlineStr">
        <is>
          <t>БЛОК 3. Транзакционные расходы (Buy / Partner)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15.75" customHeight="1" s="48">
      <c r="B27" s="11" t="inlineStr">
        <is>
          <t>Комиссии платёжных провайдеров</t>
        </is>
      </c>
      <c r="C27" s="17" t="inlineStr">
        <is>
          <t>GMV</t>
        </is>
      </c>
      <c r="D27" s="18" t="n">
        <v>187500</v>
      </c>
      <c r="E27" s="23" t="n">
        <v>187500</v>
      </c>
      <c r="F27" s="23" t="n">
        <v>1170000</v>
      </c>
      <c r="G27" s="23" t="n">
        <v>4050000</v>
      </c>
      <c r="H27" s="23" t="n">
        <v>8400000</v>
      </c>
      <c r="I27" s="23" t="n">
        <v>13050000</v>
      </c>
      <c r="J27" s="23" t="n">
        <v>26857500</v>
      </c>
      <c r="K27" s="24" t="n"/>
      <c r="L27" s="25" t="inlineStr">
        <is>
          <t>2,5% GMV — верхняя граница CFO (арт. 6)</t>
        </is>
      </c>
    </row>
    <row r="28" ht="15.75" customHeight="1" s="48">
      <c r="B28" s="11" t="inlineStr">
        <is>
          <t>SMS-уведомления</t>
        </is>
      </c>
      <c r="C28" s="17" t="inlineStr">
        <is>
          <t>заказы</t>
        </is>
      </c>
      <c r="D28" s="18" t="n">
        <v>30000</v>
      </c>
      <c r="E28" s="23" t="n">
        <v>30000</v>
      </c>
      <c r="F28" s="23" t="n">
        <v>180000</v>
      </c>
      <c r="G28" s="23" t="n">
        <v>600000</v>
      </c>
      <c r="H28" s="23" t="n">
        <v>1200000</v>
      </c>
      <c r="I28" s="23" t="n">
        <v>1800000</v>
      </c>
      <c r="J28" s="23" t="n">
        <v>3810000</v>
      </c>
      <c r="K28" s="24" t="n"/>
      <c r="L28" s="25" t="inlineStr">
        <is>
          <t>~2,5 SMS на заказ x $0,04</t>
        </is>
      </c>
    </row>
    <row r="29" ht="15.75" customHeight="1" s="48">
      <c r="B29" s="11" t="inlineStr">
        <is>
          <t>WhatsApp-сообщения (за диалог)</t>
        </is>
      </c>
      <c r="C29" s="17" t="inlineStr">
        <is>
          <t>заказы</t>
        </is>
      </c>
      <c r="D29" s="18" t="n">
        <v>9000</v>
      </c>
      <c r="E29" s="23" t="n">
        <v>9000</v>
      </c>
      <c r="F29" s="23" t="n">
        <v>54000</v>
      </c>
      <c r="G29" s="23" t="n">
        <v>180000</v>
      </c>
      <c r="H29" s="23" t="n">
        <v>360000</v>
      </c>
      <c r="I29" s="23" t="n">
        <v>540000</v>
      </c>
      <c r="J29" s="23" t="n">
        <v>1143000</v>
      </c>
      <c r="K29" s="24" t="n"/>
      <c r="L29" s="25" t="inlineStr">
        <is>
          <t>тариф Meta за conversation</t>
        </is>
      </c>
    </row>
    <row r="30" ht="15.75" customHeight="1" s="48">
      <c r="B30" s="11" t="inlineStr">
        <is>
          <t>Логистика: интеграции и комиссии партнёров</t>
        </is>
      </c>
      <c r="C30" s="17" t="inlineStr">
        <is>
          <t>заказы</t>
        </is>
      </c>
      <c r="D30" s="18" t="n">
        <v>30000</v>
      </c>
      <c r="E30" s="23" t="n">
        <v>30000</v>
      </c>
      <c r="F30" s="23" t="n">
        <v>180000</v>
      </c>
      <c r="G30" s="23" t="n">
        <v>600000</v>
      </c>
      <c r="H30" s="23" t="n">
        <v>1200000</v>
      </c>
      <c r="I30" s="23" t="n">
        <v>1800000</v>
      </c>
      <c r="J30" s="23" t="n">
        <v>3810000</v>
      </c>
      <c r="K30" s="24" t="n"/>
      <c r="L30" s="25" t="inlineStr">
        <is>
          <t>Sendbox (Нигерия), Sendy (Кения)</t>
        </is>
      </c>
    </row>
    <row r="31" ht="15.75" customHeight="1" s="48">
      <c r="B31" s="11" t="n"/>
      <c r="C31" s="17" t="n"/>
      <c r="D31" s="18" t="n"/>
      <c r="E31" s="23" t="n"/>
      <c r="F31" s="23" t="n"/>
      <c r="G31" s="23" t="n"/>
      <c r="H31" s="23" t="n"/>
      <c r="I31" s="23" t="n"/>
      <c r="J31" s="23" t="n"/>
      <c r="K31" s="24" t="n"/>
      <c r="L31" s="25" t="n"/>
    </row>
    <row r="32" ht="15.75" customHeight="1" s="48">
      <c r="B32" s="26" t="inlineStr">
        <is>
          <t>Итого по блоку</t>
        </is>
      </c>
      <c r="C32" s="27" t="n"/>
      <c r="D32" s="27" t="n"/>
      <c r="E32" s="28" t="n">
        <v>256500</v>
      </c>
      <c r="F32" s="28" t="n">
        <v>1584000</v>
      </c>
      <c r="G32" s="28" t="n">
        <v>5430000</v>
      </c>
      <c r="H32" s="28" t="n">
        <v>11160000</v>
      </c>
      <c r="I32" s="28" t="n">
        <v>17190000</v>
      </c>
      <c r="J32" s="28" t="n">
        <v>35620500</v>
      </c>
      <c r="K32" s="29">
        <f>IFERROR(J32/$J$51,0)</f>
        <v/>
      </c>
      <c r="L32" s="27" t="n"/>
    </row>
    <row r="33" ht="15.75" customHeight="1" s="48">
      <c r="C33" s="30" t="n"/>
    </row>
    <row r="34" ht="15.75" customHeight="1" s="48">
      <c r="B34" s="7" t="inlineStr">
        <is>
          <t>БЛОК 4. Команда (ФОТ)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5.75" customHeight="1" s="48">
      <c r="B35" s="11" t="inlineStr">
        <is>
          <t>Разработка (10 FTE x $60k)</t>
        </is>
      </c>
      <c r="C35" s="17" t="inlineStr">
        <is>
          <t>ФОТ</t>
        </is>
      </c>
      <c r="D35" s="18" t="n">
        <v>600000</v>
      </c>
      <c r="E35" s="23" t="n">
        <v>600000</v>
      </c>
      <c r="F35" s="23" t="n">
        <v>672000</v>
      </c>
      <c r="G35" s="23" t="n">
        <v>752640</v>
      </c>
      <c r="H35" s="23" t="n">
        <v>842956.8</v>
      </c>
      <c r="I35" s="23" t="n">
        <v>944111.62</v>
      </c>
      <c r="J35" s="23" t="n">
        <v>3811708.42</v>
      </c>
      <c r="K35" s="24" t="n"/>
      <c r="L35" s="25" t="inlineStr">
        <is>
          <t>вкл. 4 инженера на свой логистический движок (6 мес)</t>
        </is>
      </c>
    </row>
    <row r="36" ht="15.75" customHeight="1" s="48">
      <c r="B36" s="11" t="inlineStr">
        <is>
          <t>DevOps / SRE (4 FTE x $70k)</t>
        </is>
      </c>
      <c r="C36" s="17" t="inlineStr">
        <is>
          <t>ФОТ</t>
        </is>
      </c>
      <c r="D36" s="18" t="n">
        <v>280000</v>
      </c>
      <c r="E36" s="23" t="n">
        <v>280000</v>
      </c>
      <c r="F36" s="23" t="n">
        <v>313600</v>
      </c>
      <c r="G36" s="23" t="n">
        <v>351232</v>
      </c>
      <c r="H36" s="23" t="n">
        <v>393379.84</v>
      </c>
      <c r="I36" s="23" t="n">
        <v>440585.42</v>
      </c>
      <c r="J36" s="23" t="n">
        <v>1778797.26</v>
      </c>
      <c r="K36" s="24" t="n"/>
      <c r="L36" s="25" t="inlineStr">
        <is>
          <t>3 кластера, service mesh, self-hosted stateful</t>
        </is>
      </c>
    </row>
    <row r="37" ht="15.75" customHeight="1" s="48">
      <c r="B37" s="11" t="inlineStr">
        <is>
          <t>Поддержка и дежурства 24/7 (3 FTE)</t>
        </is>
      </c>
      <c r="C37" s="17" t="inlineStr">
        <is>
          <t>ФОТ</t>
        </is>
      </c>
      <c r="D37" s="18" t="n">
        <v>180000</v>
      </c>
      <c r="E37" s="23" t="n">
        <v>180000</v>
      </c>
      <c r="F37" s="23" t="n">
        <v>201600</v>
      </c>
      <c r="G37" s="23" t="n">
        <v>225792</v>
      </c>
      <c r="H37" s="23" t="n">
        <v>252887.04</v>
      </c>
      <c r="I37" s="23" t="n">
        <v>283233.48</v>
      </c>
      <c r="J37" s="23" t="n">
        <v>1143512.52</v>
      </c>
      <c r="K37" s="24" t="n"/>
      <c r="L37" s="25" t="inlineStr">
        <is>
          <t>требование 99,99%</t>
        </is>
      </c>
    </row>
    <row r="38" ht="15.75" customHeight="1" s="48">
      <c r="B38" s="11" t="inlineStr">
        <is>
          <t>Архитектура и менеджмент</t>
        </is>
      </c>
      <c r="C38" s="17" t="inlineStr">
        <is>
          <t>ФОТ</t>
        </is>
      </c>
      <c r="D38" s="18" t="n">
        <v>200000</v>
      </c>
      <c r="E38" s="23" t="n">
        <v>200000</v>
      </c>
      <c r="F38" s="23" t="n">
        <v>224000</v>
      </c>
      <c r="G38" s="23" t="n">
        <v>250880</v>
      </c>
      <c r="H38" s="23" t="n">
        <v>280985.6</v>
      </c>
      <c r="I38" s="23" t="n">
        <v>314703.87</v>
      </c>
      <c r="J38" s="23" t="n">
        <v>1270569.47</v>
      </c>
      <c r="K38" s="24" t="n"/>
      <c r="L38" s="25" t="inlineStr"/>
    </row>
    <row r="39" ht="15.75" customHeight="1" s="48">
      <c r="B39" s="11" t="n"/>
      <c r="C39" s="17" t="n"/>
      <c r="D39" s="18" t="n"/>
      <c r="E39" s="23" t="n"/>
      <c r="F39" s="23" t="n"/>
      <c r="G39" s="23" t="n"/>
      <c r="H39" s="23" t="n"/>
      <c r="I39" s="23" t="n"/>
      <c r="J39" s="23" t="n"/>
      <c r="K39" s="24" t="n"/>
      <c r="L39" s="25" t="n"/>
    </row>
    <row r="40" ht="15.75" customHeight="1" s="48">
      <c r="B40" s="26" t="inlineStr">
        <is>
          <t>Итого по блоку</t>
        </is>
      </c>
      <c r="C40" s="27" t="n"/>
      <c r="D40" s="27" t="n"/>
      <c r="E40" s="28" t="n">
        <v>1260000</v>
      </c>
      <c r="F40" s="28" t="n">
        <v>1411200</v>
      </c>
      <c r="G40" s="28" t="n">
        <v>1580544</v>
      </c>
      <c r="H40" s="28" t="n">
        <v>1770209.28</v>
      </c>
      <c r="I40" s="28" t="n">
        <v>1982634.39</v>
      </c>
      <c r="J40" s="28" t="n">
        <v>8004587.67</v>
      </c>
      <c r="K40" s="29">
        <f>IFERROR(J40/$J$51,0)</f>
        <v/>
      </c>
      <c r="L40" s="27" t="n"/>
    </row>
    <row r="41" ht="15.75" customHeight="1" s="48">
      <c r="C41" s="30" t="n"/>
    </row>
    <row r="42" ht="15.75" customHeight="1" s="48">
      <c r="B42" s="7" t="inlineStr">
        <is>
          <t>БЛОК 5. Разовые затраты и комплаенс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5.75" customHeight="1" s="48">
      <c r="B43" s="11" t="inlineStr">
        <is>
          <t>Юридический и комплаенс-аудит (NDPR, POPIA, KICA)</t>
        </is>
      </c>
      <c r="C43" s="17" t="inlineStr">
        <is>
          <t>фикс</t>
        </is>
      </c>
      <c r="D43" s="18" t="n">
        <v>25000</v>
      </c>
      <c r="E43" s="23" t="n">
        <v>25000</v>
      </c>
      <c r="F43" s="23" t="n">
        <v>0</v>
      </c>
      <c r="G43" s="23" t="n">
        <v>25000</v>
      </c>
      <c r="H43" s="23" t="n">
        <v>0</v>
      </c>
      <c r="I43" s="23" t="n">
        <v>0</v>
      </c>
      <c r="J43" s="23" t="n">
        <v>50000</v>
      </c>
      <c r="K43" s="24" t="n"/>
      <c r="L43" s="25" t="inlineStr">
        <is>
          <t>Год 1 — Нигерия и Кения, Год 3 — ЮАР</t>
        </is>
      </c>
    </row>
    <row r="44" ht="15.75" customHeight="1" s="48">
      <c r="B44" s="11" t="inlineStr">
        <is>
          <t>Пентест и аудит безопасности</t>
        </is>
      </c>
      <c r="C44" s="17" t="inlineStr">
        <is>
          <t>инфляция</t>
        </is>
      </c>
      <c r="D44" s="18" t="n">
        <v>15000</v>
      </c>
      <c r="E44" s="23" t="n">
        <v>15000</v>
      </c>
      <c r="F44" s="23" t="n">
        <v>16200</v>
      </c>
      <c r="G44" s="23" t="n">
        <v>17496</v>
      </c>
      <c r="H44" s="23" t="n">
        <v>18895.68</v>
      </c>
      <c r="I44" s="23" t="n">
        <v>20407.33</v>
      </c>
      <c r="J44" s="23" t="n">
        <v>87999.00999999999</v>
      </c>
      <c r="K44" s="24" t="n"/>
      <c r="L44" s="25" t="inlineStr">
        <is>
          <t>ежегодно</t>
        </is>
      </c>
    </row>
    <row r="45" ht="15.75" customHeight="1" s="48">
      <c r="B45" s="11" t="inlineStr">
        <is>
          <t>Миграция данных и интеграции при запуске</t>
        </is>
      </c>
      <c r="C45" s="17" t="inlineStr">
        <is>
          <t>фикс</t>
        </is>
      </c>
      <c r="D45" s="18" t="n">
        <v>40000</v>
      </c>
      <c r="E45" s="23" t="n">
        <v>40000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40000</v>
      </c>
      <c r="K45" s="24" t="n"/>
      <c r="L45" s="25" t="inlineStr"/>
    </row>
    <row r="46" ht="15.75" customHeight="1" s="48">
      <c r="B46" s="11" t="inlineStr">
        <is>
          <t>Обучение команды и найм</t>
        </is>
      </c>
      <c r="C46" s="17" t="inlineStr">
        <is>
          <t>фикс</t>
        </is>
      </c>
      <c r="D46" s="18" t="n">
        <v>90000</v>
      </c>
      <c r="E46" s="23" t="n">
        <v>90000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90000</v>
      </c>
      <c r="K46" s="24" t="n"/>
      <c r="L46" s="25" t="inlineStr">
        <is>
          <t>+13-14 человек при замороженном найме</t>
        </is>
      </c>
    </row>
    <row r="47" ht="15.75" customHeight="1" s="48">
      <c r="B47" s="11" t="n"/>
      <c r="C47" s="17" t="n"/>
      <c r="D47" s="18" t="n"/>
      <c r="E47" s="23" t="n"/>
      <c r="F47" s="23" t="n"/>
      <c r="G47" s="23" t="n"/>
      <c r="H47" s="23" t="n"/>
      <c r="I47" s="23" t="n"/>
      <c r="J47" s="23" t="n"/>
      <c r="K47" s="24" t="n"/>
      <c r="L47" s="25" t="n"/>
    </row>
    <row r="48" ht="15.75" customHeight="1" s="48">
      <c r="B48" s="26" t="inlineStr">
        <is>
          <t>Итого по блоку</t>
        </is>
      </c>
      <c r="C48" s="27" t="n"/>
      <c r="D48" s="27" t="n"/>
      <c r="E48" s="28" t="n">
        <v>170000</v>
      </c>
      <c r="F48" s="28" t="n">
        <v>16200</v>
      </c>
      <c r="G48" s="28" t="n">
        <v>42496</v>
      </c>
      <c r="H48" s="28" t="n">
        <v>18895.68</v>
      </c>
      <c r="I48" s="28" t="n">
        <v>20407.33</v>
      </c>
      <c r="J48" s="28" t="n">
        <v>267999.01</v>
      </c>
      <c r="K48" s="29">
        <f>IFERROR(J48/$J$51,0)</f>
        <v/>
      </c>
      <c r="L48" s="27" t="n"/>
    </row>
    <row r="49" ht="15.75" customHeight="1" s="48">
      <c r="C49" s="30" t="n"/>
    </row>
    <row r="50" ht="15.75" customHeight="1" s="48">
      <c r="B50" s="15" t="inlineStr">
        <is>
          <t>Резерв на непредвиденное (contingency)</t>
        </is>
      </c>
      <c r="C50" s="30" t="n"/>
      <c r="E50" s="31">
        <f>(E15+E24+E32+E40+E48)*'Допущения'!$C$17</f>
        <v/>
      </c>
      <c r="F50" s="31">
        <f>(F15+F24+F32+F40+F48)*'Допущения'!$C$17</f>
        <v/>
      </c>
      <c r="G50" s="31">
        <f>(G15+G24+G32+G40+G48)*'Допущения'!$C$17</f>
        <v/>
      </c>
      <c r="H50" s="31">
        <f>(H15+H24+H32+H40+H48)*'Допущения'!$C$17</f>
        <v/>
      </c>
      <c r="I50" s="31">
        <f>(I15+I24+I32+I40+I48)*'Допущения'!$C$17</f>
        <v/>
      </c>
      <c r="J50" s="23" t="n">
        <v>7134305.49</v>
      </c>
      <c r="L50" s="6" t="inlineStr">
        <is>
          <t>Расчёт: сумма блоков 1–5 × ставка резерва с листа «Допущения»</t>
        </is>
      </c>
    </row>
    <row r="51" ht="15.75" customHeight="1" s="48">
      <c r="B51" s="26" t="inlineStr">
        <is>
          <t>ИТОГО прямые затраты (TCO без учёта простоев)</t>
        </is>
      </c>
      <c r="C51" s="30" t="n"/>
      <c r="E51" s="28" t="n">
        <v>2155261</v>
      </c>
      <c r="F51" s="28" t="n">
        <v>3804232.2</v>
      </c>
      <c r="G51" s="28" t="n">
        <v>8868810.859999999</v>
      </c>
      <c r="H51" s="28" t="n">
        <v>16112116.35</v>
      </c>
      <c r="I51" s="28" t="n">
        <v>23755921.68</v>
      </c>
      <c r="J51" s="28" t="n">
        <v>54696342.09</v>
      </c>
    </row>
    <row r="52" ht="15.75" customHeight="1" s="48">
      <c r="B52" s="7" t="inlineStr">
        <is>
          <t>БЛОК 6. Стоимость недоступности (риск)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15.75" customHeight="1" s="48">
      <c r="B53" s="11" t="inlineStr">
        <is>
          <t>Ожидаемые потери из-за простоя (от выручки года)</t>
        </is>
      </c>
      <c r="E53" s="31" t="n">
        <v>1125</v>
      </c>
      <c r="F53" s="31" t="n">
        <v>7020</v>
      </c>
      <c r="G53" s="31" t="n">
        <v>24300</v>
      </c>
      <c r="H53" s="31" t="n">
        <v>50400</v>
      </c>
      <c r="I53" s="31" t="n">
        <v>78300</v>
      </c>
      <c r="J53" s="23" t="n">
        <v>161145</v>
      </c>
      <c r="L53" s="13" t="inlineStr">
        <is>
          <t>SLO 99.99% = 53 мин/год. Потери = минуты x выручка в минуту соответствующего года x 1,5 (поправка на пиковый характер отказов). Ставка $12 000/мин не применяется: см. комментарий к C19 на листе «Допущения»</t>
        </is>
      </c>
    </row>
    <row r="54" ht="15.75" customHeight="1" s="48">
      <c r="B54" s="26" t="inlineStr">
        <is>
          <t>ИТОГО TCO с учётом стоимости простоя</t>
        </is>
      </c>
      <c r="E54" s="28" t="n">
        <v>2156386</v>
      </c>
      <c r="F54" s="28" t="n">
        <v>3811252.2</v>
      </c>
      <c r="G54" s="28" t="n">
        <v>8893110.859999999</v>
      </c>
      <c r="H54" s="28" t="n">
        <v>16162516.35</v>
      </c>
      <c r="I54" s="28" t="n">
        <v>23834221.68</v>
      </c>
      <c r="J54" s="28" t="n">
        <v>54857487.09</v>
      </c>
    </row>
    <row r="55" ht="15.75" customHeight="1" s="48">
      <c r="B55" s="11" t="inlineStr">
        <is>
          <t>Коэффициент дисконтирования</t>
        </is>
      </c>
      <c r="E55" s="32">
        <f>1/(1+'Допущения'!$C$16)^0</f>
        <v/>
      </c>
      <c r="F55" s="32">
        <f>1/(1+'Допущения'!$C$16)^1</f>
        <v/>
      </c>
      <c r="G55" s="32">
        <f>1/(1+'Допущения'!$C$16)^2</f>
        <v/>
      </c>
      <c r="H55" s="32">
        <f>1/(1+'Допущения'!$C$16)^3</f>
        <v/>
      </c>
      <c r="I55" s="32">
        <f>1/(1+'Допущения'!$C$16)^4</f>
        <v/>
      </c>
    </row>
    <row r="56" ht="15.75" customHeight="1" s="48">
      <c r="B56" s="26" t="inlineStr">
        <is>
          <t>Дисконтированный TCO (NPV затрат)</t>
        </is>
      </c>
      <c r="E56" s="28" t="n">
        <v>2156386</v>
      </c>
      <c r="F56" s="28" t="n">
        <v>3176043.5</v>
      </c>
      <c r="G56" s="28" t="n">
        <v>6175771.43</v>
      </c>
      <c r="H56" s="28" t="n">
        <v>9353308.07</v>
      </c>
      <c r="I56" s="28" t="n">
        <v>11494126.97</v>
      </c>
      <c r="J56" s="28">
        <f>SUM(E56:I56)</f>
        <v/>
      </c>
    </row>
    <row r="57" ht="15.75" customHeight="1" s="48"/>
    <row r="58" ht="15.75" customHeight="1" s="48">
      <c r="B58" s="7" t="inlineStr">
        <is>
          <t>Ключевые метрики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15.75" customHeight="1" s="48">
      <c r="B59" s="15" t="inlineStr">
        <is>
          <t>TCO за 5 лет, прямые затраты</t>
        </is>
      </c>
      <c r="E59" s="57">
        <f>J51</f>
        <v/>
      </c>
      <c r="F59" s="58" t="n"/>
      <c r="L59" s="13" t="inlineStr">
        <is>
          <t>Основная цифра для сравнения вариантов в ADR</t>
        </is>
      </c>
    </row>
    <row r="60" ht="15.75" customHeight="1" s="48">
      <c r="B60" s="15" t="inlineStr">
        <is>
          <t>TCO за 5 лет с учётом простоя</t>
        </is>
      </c>
      <c r="E60" s="57">
        <f>J54</f>
        <v/>
      </c>
      <c r="F60" s="58" t="n"/>
      <c r="L60" s="13" t="inlineStr">
        <is>
          <t>Показывает цену недоступности для mission critical</t>
        </is>
      </c>
    </row>
    <row r="61" ht="15.75" customHeight="1" s="48">
      <c r="B61" s="15" t="inlineStr">
        <is>
          <t>NPV затрат за 5 лет</t>
        </is>
      </c>
      <c r="E61" s="57">
        <f>J56</f>
        <v/>
      </c>
      <c r="F61" s="58" t="n"/>
      <c r="L61" s="13" t="inlineStr">
        <is>
          <t>Затраты, приведённые к сегодняшнему дню</t>
        </is>
      </c>
    </row>
    <row r="62" ht="15.75" customHeight="1" s="48">
      <c r="B62" s="15" t="inlineStr">
        <is>
          <t>Средние затраты в год</t>
        </is>
      </c>
      <c r="E62" s="57">
        <f>J51/5</f>
        <v/>
      </c>
      <c r="F62" s="58" t="n"/>
      <c r="L62" s="13" t="inlineStr">
        <is>
          <t>Ориентир для планирования бюджета</t>
        </is>
      </c>
    </row>
    <row r="63" ht="15.75" customHeight="1" s="48">
      <c r="B63" s="15" t="inlineStr">
        <is>
          <t>Облако и SaaS (блоки 1+2), $/мес в Год 1</t>
        </is>
      </c>
      <c r="E63" s="57">
        <f>(E15+E24)/12</f>
        <v/>
      </c>
      <c r="F63" s="58" t="n"/>
      <c r="L63" s="13" t="inlineStr">
        <is>
          <t>CFO включает в лимит вычисления, хранение, БД, CDN, мониторинг и SaaS (арт. 6)</t>
        </is>
      </c>
    </row>
    <row r="64" ht="15.75" customHeight="1" s="48">
      <c r="B64" s="15" t="inlineStr">
        <is>
          <t>Проверка бюджета CFO на Год 1</t>
        </is>
      </c>
      <c r="E64" s="59">
        <f>IF((E15+E24)/12&lt;='Допущения'!$C$18,"В бюджете CFO","ПРЕВЫШЕНИЕ бюджета")</f>
        <v/>
      </c>
      <c r="F64" s="58" t="n"/>
      <c r="L64" s="13" t="inlineStr">
        <is>
          <t>Если превышение — объясни в ADR, чем жертвуешь</t>
        </is>
      </c>
    </row>
    <row r="65" ht="15.75" customHeight="1" s="48">
      <c r="B65" s="15" t="inlineStr">
        <is>
          <t>TCO на 1 заказ за 5 лет</t>
        </is>
      </c>
      <c r="E65" s="60">
        <f>IFERROR(J51/SUM('Допущения'!$C$8:$G$8),0)</f>
        <v/>
      </c>
      <c r="F65" s="58" t="n"/>
      <c r="L65" s="13" t="inlineStr">
        <is>
          <t>Юнит-экономика: сколько ИТ стоит в одном заказе</t>
        </is>
      </c>
    </row>
    <row r="66" ht="15.75" customHeight="1" s="48">
      <c r="B66" s="15" t="inlineStr">
        <is>
          <t>TCO на 1 активного пользователя (Год 5)</t>
        </is>
      </c>
      <c r="E66" s="60">
        <f>IFERROR(I51/'Допущения'!$G$7,0)</f>
        <v/>
      </c>
      <c r="F66" s="58" t="n"/>
      <c r="L66" s="13" t="inlineStr">
        <is>
          <t>Проверка масштабируемости модели</t>
        </is>
      </c>
    </row>
    <row r="67" ht="15.75" customHeight="1" s="48">
      <c r="B67" s="15" t="inlineStr">
        <is>
          <t>Затраты ИТ как доля GMV за 5 лет</t>
        </is>
      </c>
      <c r="E67" s="61">
        <f>IFERROR(J51/SUM('Допущения'!$C$10:$G$10),0)</f>
        <v/>
      </c>
      <c r="F67" s="58" t="n"/>
      <c r="L67" s="13" t="inlineStr">
        <is>
          <t>Здоровый маркетплейс — единицы процентов</t>
        </is>
      </c>
    </row>
    <row r="68" ht="15.75" customHeight="1" s="48">
      <c r="B68" s="15" t="inlineStr">
        <is>
          <t>Доля облачной инфраструктуры в TCO</t>
        </is>
      </c>
      <c r="E68" s="62">
        <f>IFERROR(J15/J51,0)</f>
        <v/>
      </c>
      <c r="F68" s="58" t="n"/>
      <c r="L68" s="13" t="inlineStr">
        <is>
          <t>Обычно меньше, чем ожидают студенты</t>
        </is>
      </c>
    </row>
    <row r="69" ht="15.75" customHeight="1" s="48">
      <c r="B69" s="15" t="inlineStr">
        <is>
          <t>Доля транзакционных расходов в TCO</t>
        </is>
      </c>
      <c r="E69" s="62">
        <f>IFERROR(J32/J51,0)</f>
        <v/>
      </c>
      <c r="F69" s="58" t="n"/>
      <c r="L69" s="13" t="inlineStr">
        <is>
          <t>Растёт быстрее всего вместе с GMV</t>
        </is>
      </c>
    </row>
    <row r="70" ht="15.75" customHeight="1" s="48">
      <c r="B70" s="15" t="inlineStr">
        <is>
          <t>Доля команды (ФОТ) в TCO</t>
        </is>
      </c>
      <c r="E70" s="62">
        <f>IFERROR(J40/J51,0)</f>
        <v/>
      </c>
      <c r="F70" s="58" t="n"/>
      <c r="L70" s="13" t="inlineStr">
        <is>
          <t>Как правило, крупнейшая статья</t>
        </is>
      </c>
    </row>
    <row r="71" ht="15.75" customHeight="1" s="48"/>
    <row r="72" ht="15.75" customHeight="1" s="48">
      <c r="B72" s="39" t="inlineStr">
        <is>
          <t>Вывод для ADR №1</t>
        </is>
      </c>
    </row>
    <row r="73" ht="15" customHeight="1" s="48">
      <c r="B73" s="63" t="inlineStr">
        <is>
          <t>Отклонён. 154% лимита CFO в регулярных расходах плюс $95 тыс. единовременно на лицензию, запрещённую политикой CFO; 20 FTE при замороженном найме; собственная логистика — 6 месяцев по оценке самого CTO. Экономия на доступности ($1,45 млн за 5 лет) втрое меньше перерасхода на ФОТ и инфраструктуру.</t>
        </is>
      </c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5" t="n"/>
    </row>
    <row r="74" ht="15.75" customHeight="1" s="48">
      <c r="B74" s="66" t="n"/>
      <c r="L74" s="67" t="n"/>
    </row>
    <row r="75" ht="15.75" customHeight="1" s="48">
      <c r="B75" s="68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70" t="n"/>
    </row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2026-08-24T07:50:39Z</dcterms:created>
  <dcterms:modified xsi:type="dcterms:W3CDTF">2026-09-22T21:46:49Z</dcterms:modified>
</cp:coreProperties>
</file>